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b72a0b8a8648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nefit Summary" sheetId="1" r:id="R028b0e11c1a44ddc"/>
    <x:sheet xmlns:r="http://schemas.openxmlformats.org/officeDocument/2006/relationships" name="Back_of_Envelope" sheetId="2" r:id="Re671eccdb5784a6f"/>
    <x:sheet xmlns:r="http://schemas.openxmlformats.org/officeDocument/2006/relationships" name="Assumptions" sheetId="3" r:id="Re2fc5d5c368d4b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"/>
    <x:numFmt numFmtId="201" formatCode="0.0%"/>
    <x:numFmt numFmtId="202" formatCode="$#,##0"/>
    <x:numFmt numFmtId="203" formatCode="0.00"/>
    <x:numFmt numFmtId="204" formatCode="0%"/>
    <x:numFmt numFmtId="205" formatCode="0.00%"/>
    <x:numFmt numFmtId="206" formatCode="0.0"/>
    <x:numFmt numFmtId="207" formatCode="$#,##0.0,,&quot;M&quot;"/>
  </x:numFmts>
  <x:fonts count="9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1F4E79"/>
      <x:name val="Carlito"/>
    </x:font>
    <x:font>
      <x:i/>
      <x:sz val="11"/>
      <x:name val="Carlito"/>
    </x:font>
    <x:font>
      <x:i/>
      <x:sz val="11"/>
      <x:color rgb="FF333333"/>
      <x:name val="Carlito"/>
    </x:font>
    <x:font>
      <x:b/>
      <x:sz val="11"/>
      <x:name val="Carlito"/>
    </x:font>
    <x:font>
      <x:b/>
      <x:sz val="12"/>
      <x:color rgb="FF1F4E79"/>
      <x:name val="Carlito"/>
    </x:font>
    <x:font>
      <x:sz val="11"/>
      <x:color rgb="FF5B9BD5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B9BD5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E2F0D9"/>
      </x:patternFill>
    </x:fill>
    <x:fill>
      <x:patternFill patternType="solid">
        <x:fgColor rgb="FF1F4E79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19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201" fontId="0" fillId="4" borderId="0" xfId="0" applyNumberFormat="1" applyFont="1" applyFill="1" applyBorder="1" applyAlignment="1">
      <x:alignment wrapText="1"/>
    </x:xf>
    <x:xf numFmtId="201" fontId="0" fillId="4" borderId="1" xfId="0" applyNumberFormat="1" applyFont="1" applyFill="1" applyBorder="1" applyAlignment="1">
      <x:alignment wrapText="1"/>
    </x:xf>
    <x:xf numFmtId="202" fontId="0" fillId="4" borderId="0" xfId="0" applyNumberFormat="1" applyFont="1" applyFill="1" applyBorder="1" applyAlignment="1">
      <x:alignment wrapText="1"/>
    </x:xf>
    <x:xf numFmtId="202" fontId="0" fillId="4" borderId="1" xfId="0" applyNumberFormat="1" applyFont="1" applyFill="1" applyBorder="1" applyAlignment="1">
      <x:alignment wrapText="1"/>
    </x:xf>
    <x:xf numFmtId="203" fontId="0" fillId="4" borderId="0" xfId="0" applyNumberFormat="1" applyFont="1" applyFill="1" applyBorder="1" applyAlignment="1">
      <x:alignment wrapText="1"/>
    </x:xf>
    <x:xf numFmtId="203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horizontal="center" wrapText="1"/>
    </x:xf>
    <x:xf numFmtId="0" fontId="6" fillId="7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 applyAlignment="1">
      <x:alignment horizontal="center" wrapText="1"/>
    </x:xf>
    <x:xf numFmtId="0" fontId="6" fillId="7" borderId="1" xfId="0" applyNumberFormat="1" applyFont="1" applyFill="1" applyBorder="1" applyAlignment="1">
      <x:alignment horizontal="center" wrapText="1"/>
    </x:xf>
    <x:xf numFmtId="202" fontId="6" fillId="7" borderId="0" xfId="0" applyNumberFormat="1" applyFont="1" applyFill="1" applyBorder="1" applyAlignment="1">
      <x:alignment wrapText="1"/>
    </x:xf>
    <x:xf numFmtId="202" fontId="6" fillId="7" borderId="1" xfId="0" applyNumberFormat="1" applyFont="1" applyFill="1" applyBorder="1" applyAlignment="1">
      <x:alignment wrapText="1"/>
    </x:xf>
    <x:xf numFmtId="204" fontId="0" fillId="4" borderId="0" xfId="0" applyNumberFormat="1" applyFont="1" applyFill="1" applyBorder="1" applyAlignment="1">
      <x:alignment wrapText="1"/>
    </x:xf>
    <x:xf numFmtId="204" fontId="6" fillId="7" borderId="0" xfId="0" applyNumberFormat="1" applyFont="1" applyFill="1" applyBorder="1" applyAlignment="1">
      <x:alignment wrapText="1"/>
    </x:xf>
    <x:xf numFmtId="204" fontId="0" fillId="4" borderId="1" xfId="0" applyNumberFormat="1" applyFont="1" applyFill="1" applyBorder="1" applyAlignment="1">
      <x:alignment wrapText="1"/>
    </x:xf>
    <x:xf numFmtId="204" fontId="6" fillId="7" borderId="1" xfId="0" applyNumberFormat="1" applyFont="1" applyFill="1" applyBorder="1" applyAlignment="1">
      <x:alignment wrapText="1"/>
    </x:xf>
    <x:xf numFmtId="200" fontId="6" fillId="7" borderId="0" xfId="0" applyNumberFormat="1" applyFont="1" applyFill="1" applyBorder="1" applyAlignment="1">
      <x:alignment wrapText="1"/>
    </x:xf>
    <x:xf numFmtId="200" fontId="6" fillId="7" borderId="1" xfId="0" applyNumberFormat="1" applyFont="1" applyFill="1" applyBorder="1" applyAlignment="1">
      <x:alignment wrapText="1"/>
    </x:xf>
    <x:xf numFmtId="203" fontId="6" fillId="7" borderId="0" xfId="0" applyNumberFormat="1" applyFont="1" applyFill="1" applyBorder="1" applyAlignment="1">
      <x:alignment wrapText="1"/>
    </x:xf>
    <x:xf numFmtId="203" fontId="6" fillId="7" borderId="1" xfId="0" applyNumberFormat="1" applyFont="1" applyFill="1" applyBorder="1" applyAlignment="1">
      <x:alignment wrapText="1"/>
    </x:xf>
    <x:xf numFmtId="205" fontId="0" fillId="4" borderId="0" xfId="0" applyNumberFormat="1" applyFont="1" applyFill="1" applyBorder="1" applyAlignment="1">
      <x:alignment wrapText="1"/>
    </x:xf>
    <x:xf numFmtId="205" fontId="6" fillId="7" borderId="0" xfId="0" applyNumberFormat="1" applyFont="1" applyFill="1" applyBorder="1" applyAlignment="1">
      <x:alignment wrapText="1"/>
    </x:xf>
    <x:xf numFmtId="205" fontId="0" fillId="4" borderId="1" xfId="0" applyNumberFormat="1" applyFont="1" applyFill="1" applyBorder="1" applyAlignment="1">
      <x:alignment wrapText="1"/>
    </x:xf>
    <x:xf numFmtId="205" fontId="6" fillId="7" borderId="1" xfId="0" applyNumberFormat="1" applyFont="1" applyFill="1" applyBorder="1" applyAlignment="1">
      <x:alignment wrapText="1"/>
    </x:xf>
    <x:xf numFmtId="206" fontId="0" fillId="4" borderId="0" xfId="0" applyNumberFormat="1" applyFont="1" applyFill="1" applyBorder="1" applyAlignment="1">
      <x:alignment wrapText="1"/>
    </x:xf>
    <x:xf numFmtId="206" fontId="6" fillId="7" borderId="0" xfId="0" applyNumberFormat="1" applyFont="1" applyFill="1" applyBorder="1" applyAlignment="1">
      <x:alignment wrapText="1"/>
    </x:xf>
    <x:xf numFmtId="206" fontId="0" fillId="4" borderId="1" xfId="0" applyNumberFormat="1" applyFont="1" applyFill="1" applyBorder="1" applyAlignment="1">
      <x:alignment wrapText="1"/>
    </x:xf>
    <x:xf numFmtId="206" fontId="6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horizontal="center"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7" fillId="8" borderId="1" xfId="0" applyNumberFormat="1" applyFont="1" applyFill="1" applyBorder="1"/>
    <x:xf numFmtId="0" fontId="7" fillId="8" borderId="1" xfId="0" applyNumberFormat="1" applyFont="1" applyFill="1" applyBorder="1" applyAlignment="1">
      <x:alignment wrapText="1"/>
    </x:xf>
    <x:xf numFmtId="0" fontId="7" fillId="8" borderId="1" xfId="0" applyNumberFormat="1" applyFont="1" applyFill="1" applyBorder="1" applyAlignment="1">
      <x:alignment horizontal="center" wrapText="1"/>
    </x:xf>
    <x:xf numFmtId="0" fontId="7" fillId="8" borderId="1" xfId="0" applyNumberFormat="1" applyFont="1" applyFill="1" applyBorder="1" applyAlignment="1">
      <x:alignment horizontal="center" vertical="center" wrapText="1"/>
    </x:xf>
    <x:xf numFmtId="207" fontId="7" fillId="8" borderId="0" xfId="0" applyNumberFormat="1" applyFont="1" applyFill="1" applyBorder="1" applyAlignment="1">
      <x:alignment horizontal="center" vertical="center" wrapText="1"/>
    </x:xf>
    <x:xf numFmtId="207" fontId="7" fillId="8" borderId="1" xfId="0" applyNumberFormat="1" applyFont="1" applyFill="1" applyBorder="1" applyAlignment="1">
      <x:alignment horizontal="center" vertical="center" wrapText="1"/>
    </x:xf>
    <x:xf numFmtId="203" fontId="7" fillId="8" borderId="0" xfId="0" applyNumberFormat="1" applyFont="1" applyFill="1" applyBorder="1" applyAlignment="1">
      <x:alignment horizontal="center" vertical="center" wrapText="1"/>
    </x:xf>
    <x:xf numFmtId="203" fontId="7" fillId="8" borderId="1" xfId="0" applyNumberFormat="1" applyFont="1" applyFill="1" applyBorder="1" applyAlignment="1">
      <x:alignment horizontal="center" vertical="center" wrapText="1"/>
    </x:xf>
    <x:xf numFmtId="200" fontId="7" fillId="8" borderId="0" xfId="0" applyNumberFormat="1" applyFont="1" applyFill="1" applyBorder="1" applyAlignment="1">
      <x:alignment horizontal="center" vertical="center" wrapText="1"/>
    </x:xf>
    <x:xf numFmtId="200" fontId="7" fillId="8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horizontal="left"/>
    </x:xf>
    <x:xf numFmtId="0" fontId="2" fillId="9" borderId="0" xfId="0" applyNumberFormat="1" applyFont="1" applyFill="1" applyBorder="1" applyAlignment="1">
      <x:alignment horizontal="left" vertical="center"/>
    </x:xf>
    <x:xf numFmtId="0" fontId="0" fillId="9" borderId="1" xfId="0" applyNumberFormat="1" applyFont="1" applyFill="1" applyBorder="1"/>
    <x:xf numFmtId="0" fontId="2" fillId="9" borderId="1" xfId="0" applyNumberFormat="1" applyFont="1" applyFill="1" applyBorder="1"/>
    <x:xf numFmtId="0" fontId="2" fillId="9" borderId="1" xfId="0" applyNumberFormat="1" applyFont="1" applyFill="1" applyBorder="1" applyAlignment="1">
      <x:alignment horizontal="left"/>
    </x:xf>
    <x:xf numFmtId="0" fontId="2" fillId="9" borderId="1" xfId="0" applyNumberFormat="1" applyFont="1" applyFill="1" applyBorder="1" applyAlignment="1">
      <x:alignment horizontal="left" vertical="center"/>
    </x:xf>
    <x:xf numFmtId="0" fontId="6" fillId="8" borderId="0" xfId="0" applyNumberFormat="1" applyFont="1" applyFill="1" applyBorder="1"/>
    <x:xf numFmtId="0" fontId="6" fillId="8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7" fontId="0" fillId="0" borderId="0" xfId="0" applyNumberFormat="1" applyFont="1" applyFill="1" applyBorder="1"/>
    <x:xf numFmtId="207" fontId="6" fillId="8" borderId="0" xfId="0" applyNumberFormat="1" applyFont="1" applyFill="1" applyBorder="1"/>
    <x:xf numFmtId="207" fontId="0" fillId="0" borderId="1" xfId="0" applyNumberFormat="1" applyFont="1" applyFill="1" applyBorder="1"/>
    <x:xf numFmtId="207" fontId="6" fillId="8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0" fontId="6" fillId="8" borderId="0" xfId="0" applyNumberFormat="1" applyFont="1" applyFill="1" applyBorder="1"/>
    <x:xf numFmtId="200" fontId="6" fillId="8" borderId="1" xfId="0" applyNumberFormat="1" applyFont="1" applyFill="1" applyBorder="1"/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wrapText="1"/>
    </x:xf>
    <x:xf numFmtId="0" fontId="0" fillId="10" borderId="1" xfId="0" applyNumberFormat="1" applyFont="1" applyFill="1" applyBorder="1"/>
    <x:xf numFmtId="0" fontId="4" fillId="10" borderId="1" xfId="0" applyNumberFormat="1" applyFont="1" applyFill="1" applyBorder="1"/>
    <x:xf numFmtId="0" fontId="4" fillId="1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6" fillId="8" borderId="0" xfId="0" applyNumberFormat="1" applyFont="1" applyFill="1" applyBorder="1"/>
    <x:xf numFmtId="202" fontId="0" fillId="0" borderId="1" xfId="0" applyNumberFormat="1" applyFont="1" applyFill="1" applyBorder="1"/>
    <x:xf numFmtId="202" fontId="6" fillId="8" borderId="1" xfId="0" applyNumberFormat="1" applyFont="1" applyFill="1" applyBorder="1"/>
    <x:xf numFmtId="203" fontId="0" fillId="0" borderId="0" xfId="0" applyNumberFormat="1" applyFont="1" applyFill="1" applyBorder="1"/>
    <x:xf numFmtId="203" fontId="6" fillId="8" borderId="0" xfId="0" applyNumberFormat="1" applyFont="1" applyFill="1" applyBorder="1"/>
    <x:xf numFmtId="203" fontId="0" fillId="0" borderId="1" xfId="0" applyNumberFormat="1" applyFont="1" applyFill="1" applyBorder="1"/>
    <x:xf numFmtId="203" fontId="6" fillId="8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207" fontId="0" fillId="0" borderId="0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 applyAlignment="1">
      <x:alignment vertical="center"/>
    </x:xf>
    <x:xf numFmtId="0" fontId="6" fillId="8" borderId="0" xfId="0" applyNumberFormat="1" applyFont="1" applyFill="1" applyBorder="1" applyAlignment="1">
      <x:alignment vertical="center"/>
    </x:xf>
    <x:xf numFmtId="207" fontId="6" fillId="8" borderId="0" xfId="0" applyNumberFormat="1" applyFont="1" applyFill="1" applyBorder="1" applyAlignment="1">
      <x:alignment vertical="center"/>
    </x:xf>
    <x:xf numFmtId="200" fontId="6" fillId="8" borderId="0" xfId="0" applyNumberFormat="1" applyFont="1" applyFill="1" applyBorder="1" applyAlignment="1">
      <x:alignment vertical="center"/>
    </x:xf>
    <x:xf numFmtId="0" fontId="4" fillId="1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2" fontId="6" fillId="8" borderId="0" xfId="0" applyNumberFormat="1" applyFont="1" applyFill="1" applyBorder="1" applyAlignment="1">
      <x:alignment vertical="center"/>
    </x:xf>
    <x:xf numFmtId="203" fontId="6" fillId="8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/>
    </x:xf>
    <x:xf numFmtId="207" fontId="0" fillId="0" borderId="1" xfId="0" applyNumberFormat="1" applyFont="1" applyFill="1" applyBorder="1" applyAlignment="1">
      <x:alignment vertical="center"/>
    </x:xf>
    <x:xf numFmtId="206" fontId="0" fillId="0" borderId="1" xfId="0" applyNumberFormat="1" applyFont="1" applyFill="1" applyBorder="1" applyAlignment="1">
      <x:alignment vertical="center"/>
    </x:xf>
    <x:xf numFmtId="0" fontId="6" fillId="8" borderId="1" xfId="0" applyNumberFormat="1" applyFont="1" applyFill="1" applyBorder="1" applyAlignment="1">
      <x:alignment vertical="center"/>
    </x:xf>
    <x:xf numFmtId="207" fontId="6" fillId="8" borderId="1" xfId="0" applyNumberFormat="1" applyFont="1" applyFill="1" applyBorder="1" applyAlignment="1">
      <x:alignment vertical="center"/>
    </x:xf>
    <x:xf numFmtId="200" fontId="6" fillId="8" borderId="1" xfId="0" applyNumberFormat="1" applyFont="1" applyFill="1" applyBorder="1" applyAlignment="1">
      <x:alignment vertical="center"/>
    </x:xf>
    <x:xf numFmtId="0" fontId="4" fillId="1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/>
    </x:xf>
    <x:xf numFmtId="202" fontId="6" fillId="8" borderId="1" xfId="0" applyNumberFormat="1" applyFont="1" applyFill="1" applyBorder="1" applyAlignment="1">
      <x:alignment vertical="center"/>
    </x:xf>
    <x:xf numFmtId="203" fontId="6" fillId="8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2" fontId="0" fillId="4" borderId="0" xfId="0" applyNumberFormat="1" applyFont="1" applyFill="1" applyBorder="1" applyAlignment="1">
      <x:alignment vertical="center" wrapText="1"/>
    </x:xf>
    <x:xf numFmtId="204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203" fontId="0" fillId="4" borderId="0" xfId="0" applyNumberFormat="1" applyFont="1" applyFill="1" applyBorder="1" applyAlignment="1">
      <x:alignment vertical="center" wrapText="1"/>
    </x:xf>
    <x:xf numFmtId="205" fontId="0" fillId="4" borderId="0" xfId="0" applyNumberFormat="1" applyFont="1" applyFill="1" applyBorder="1" applyAlignment="1">
      <x:alignment vertical="center" wrapText="1"/>
    </x:xf>
    <x:xf numFmtId="206" fontId="0" fillId="4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202" fontId="6" fillId="7" borderId="0" xfId="0" applyNumberFormat="1" applyFont="1" applyFill="1" applyBorder="1" applyAlignment="1">
      <x:alignment vertical="center" wrapText="1"/>
    </x:xf>
    <x:xf numFmtId="204" fontId="6" fillId="7" borderId="0" xfId="0" applyNumberFormat="1" applyFont="1" applyFill="1" applyBorder="1" applyAlignment="1">
      <x:alignment vertical="center" wrapText="1"/>
    </x:xf>
    <x:xf numFmtId="200" fontId="6" fillId="7" borderId="0" xfId="0" applyNumberFormat="1" applyFont="1" applyFill="1" applyBorder="1" applyAlignment="1">
      <x:alignment vertical="center" wrapText="1"/>
    </x:xf>
    <x:xf numFmtId="203" fontId="6" fillId="7" borderId="0" xfId="0" applyNumberFormat="1" applyFont="1" applyFill="1" applyBorder="1" applyAlignment="1">
      <x:alignment vertical="center" wrapText="1"/>
    </x:xf>
    <x:xf numFmtId="205" fontId="6" fillId="7" borderId="0" xfId="0" applyNumberFormat="1" applyFont="1" applyFill="1" applyBorder="1" applyAlignment="1">
      <x:alignment vertical="center" wrapText="1"/>
    </x:xf>
    <x:xf numFmtId="206" fontId="6" fillId="7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202" fontId="0" fillId="4" borderId="1" xfId="0" applyNumberFormat="1" applyFont="1" applyFill="1" applyBorder="1" applyAlignment="1">
      <x:alignment vertical="center" wrapText="1"/>
    </x:xf>
    <x:xf numFmtId="204" fontId="0" fillId="4" borderId="1" xfId="0" applyNumberFormat="1" applyFont="1" applyFill="1" applyBorder="1" applyAlignment="1">
      <x:alignment vertical="center" wrapText="1"/>
    </x:xf>
    <x:xf numFmtId="200" fontId="0" fillId="4" borderId="1" xfId="0" applyNumberFormat="1" applyFont="1" applyFill="1" applyBorder="1" applyAlignment="1">
      <x:alignment vertical="center" wrapText="1"/>
    </x:xf>
    <x:xf numFmtId="203" fontId="0" fillId="4" borderId="1" xfId="0" applyNumberFormat="1" applyFont="1" applyFill="1" applyBorder="1" applyAlignment="1">
      <x:alignment vertical="center" wrapText="1"/>
    </x:xf>
    <x:xf numFmtId="205" fontId="0" fillId="4" borderId="1" xfId="0" applyNumberFormat="1" applyFont="1" applyFill="1" applyBorder="1" applyAlignment="1">
      <x:alignment vertical="center" wrapText="1"/>
    </x:xf>
    <x:xf numFmtId="206" fontId="0" fillId="4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202" fontId="6" fillId="7" borderId="1" xfId="0" applyNumberFormat="1" applyFont="1" applyFill="1" applyBorder="1" applyAlignment="1">
      <x:alignment vertical="center" wrapText="1"/>
    </x:xf>
    <x:xf numFmtId="204" fontId="6" fillId="7" borderId="1" xfId="0" applyNumberFormat="1" applyFont="1" applyFill="1" applyBorder="1" applyAlignment="1">
      <x:alignment vertical="center" wrapText="1"/>
    </x:xf>
    <x:xf numFmtId="200" fontId="6" fillId="7" borderId="1" xfId="0" applyNumberFormat="1" applyFont="1" applyFill="1" applyBorder="1" applyAlignment="1">
      <x:alignment vertical="center" wrapText="1"/>
    </x:xf>
    <x:xf numFmtId="203" fontId="6" fillId="7" borderId="1" xfId="0" applyNumberFormat="1" applyFont="1" applyFill="1" applyBorder="1" applyAlignment="1">
      <x:alignment vertical="center" wrapText="1"/>
    </x:xf>
    <x:xf numFmtId="205" fontId="6" fillId="7" borderId="1" xfId="0" applyNumberFormat="1" applyFont="1" applyFill="1" applyBorder="1" applyAlignment="1">
      <x:alignment vertical="center" wrapText="1"/>
    </x:xf>
    <x:xf numFmtId="206" fontId="6" fillId="7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201" fontId="0" fillId="4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39963a73a64aed" /><Relationship Type="http://schemas.openxmlformats.org/officeDocument/2006/relationships/theme" Target="/xl/theme/theme1.xml" Id="Re107bb914dac4c2a" /><Relationship Type="http://schemas.openxmlformats.org/officeDocument/2006/relationships/sharedStrings" Target="/xl/sharedStrings.xml" Id="Rf40ba9ad587e42f2" /><Relationship Type="http://schemas.openxmlformats.org/officeDocument/2006/relationships/worksheet" Target="/xl/worksheets/sheet1.xml" Id="R028b0e11c1a44ddc" /><Relationship Type="http://schemas.openxmlformats.org/officeDocument/2006/relationships/worksheet" Target="/xl/worksheets/sheet2.xml" Id="Re671eccdb5784a6f" /><Relationship Type="http://schemas.openxmlformats.org/officeDocument/2006/relationships/worksheet" Target="/xl/worksheets/sheet3.xml" Id="Re2fc5d5c368d4b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4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6" t="str">
        <x:v>QMA GenAI Benefits — Executive Back-of-Envelope Summary</x:v>
      </x:c>
      <x:c r="B1" s="6"/>
      <x:c r="C1" s="6"/>
      <x:c r="D1" s="6"/>
      <x:c r="E1" s="6"/>
      <x:c r="F1" s="6"/>
      <x:c r="G1" s="6"/>
      <x:c r="H1" s="6"/>
      <x:c r="I1" s="130"/>
      <x:c r="J1" s="130"/>
      <x:c r="K1" s="130"/>
      <x:c r="L1" s="130"/>
    </x:row>
    <x:row r="2" ht="58" customHeight="1">
      <x:c r="A2" s="131" t="str">
        <x:v>Core story: Against a project budget of $600K, the projected annual business benefit is $11M through GenAI-powered intent classification, routing, automation, EDGE Assist, Smart Search and Topic Modeling.</x:v>
      </x:c>
      <x:c r="B2" s="131"/>
      <x:c r="C2" s="131"/>
      <x:c r="D2" s="131"/>
      <x:c r="E2" s="131"/>
      <x:c r="F2" s="131"/>
      <x:c r="G2" s="131"/>
      <x:c r="H2" s="131"/>
      <x:c r="I2" s="130"/>
      <x:c r="J2" s="130"/>
      <x:c r="K2" s="130"/>
      <x:c r="L2" s="130"/>
    </x:row>
    <x:row r="3">
      <x:c r="A3" s="130"/>
      <x:c r="B3" s="130"/>
      <x:c r="C3" s="130"/>
      <x:c r="D3" s="130"/>
      <x:c r="E3" s="130"/>
      <x:c r="F3" s="130"/>
      <x:c r="G3" s="130"/>
      <x:c r="H3" s="130"/>
      <x:c r="I3" s="130"/>
      <x:c r="J3" s="130"/>
      <x:c r="K3" s="130"/>
      <x:c r="L3" s="130"/>
    </x:row>
    <x:row r="4">
      <x:c r="A4" s="82" t="str">
        <x:v>Annual Benefit Target</x:v>
      </x:c>
      <x:c r="B4" s="82" t="str"/>
      <x:c r="C4" s="82" t="str">
        <x:v>Equivalent FTEs</x:v>
      </x:c>
      <x:c r="D4" s="82" t="str"/>
      <x:c r="E4" s="82" t="str">
        <x:v>Hours Saved / Year</x:v>
      </x:c>
      <x:c r="F4" s="82" t="str"/>
      <x:c r="G4" s="82" t="str">
        <x:v>Avg Seconds Saved / Email</x:v>
      </x:c>
      <x:c r="H4" s="82" t="str"/>
      <x:c r="I4" s="130"/>
      <x:c r="J4" s="130"/>
      <x:c r="K4" s="130"/>
      <x:c r="L4" s="130"/>
    </x:row>
    <x:row r="5">
      <x:c r="A5" s="88" t="n">
        <x:f>Assumptions!B9</x:f>
        <x:v>11000000</x:v>
      </x:c>
      <x:c r="B5" s="82"/>
      <x:c r="C5" s="90" t="n">
        <x:f>Assumptions!B10</x:f>
        <x:v>48.888888888888886</x:v>
      </x:c>
      <x:c r="D5" s="82"/>
      <x:c r="E5" s="92" t="n">
        <x:f>Assumptions!B11</x:f>
        <x:v>88000</x:v>
      </x:c>
      <x:c r="F5" s="82"/>
      <x:c r="G5" s="90" t="n">
        <x:f>Assumptions!B12</x:f>
        <x:v>9.418760220008918</x:v>
      </x:c>
      <x:c r="H5" s="82"/>
      <x:c r="I5" s="130"/>
      <x:c r="J5" s="130"/>
      <x:c r="K5" s="130"/>
      <x:c r="L5" s="130"/>
    </x:row>
    <x:row r="6">
      <x:c r="A6" s="82" t="str">
        <x:v>2026 steady-state</x:v>
      </x:c>
      <x:c r="B6" s="82" t="str"/>
      <x:c r="C6" s="82" t="str">
        <x:v>Target benefit ÷ loaded cost/FTE</x:v>
      </x:c>
      <x:c r="D6" s="82" t="str"/>
      <x:c r="E6" s="82" t="str">
        <x:v>FTEs × productive hours</x:v>
      </x:c>
      <x:c r="F6" s="82" t="str"/>
      <x:c r="G6" s="82" t="str">
        <x:v>Across projected 2026 volume</x:v>
      </x:c>
      <x:c r="H6" s="82" t="str"/>
      <x:c r="I6" s="130"/>
      <x:c r="J6" s="130"/>
      <x:c r="K6" s="130"/>
      <x:c r="L6" s="130"/>
    </x:row>
    <x:row r="7">
      <x:c r="A7" s="130"/>
      <x:c r="B7" s="130"/>
      <x:c r="C7" s="130"/>
      <x:c r="D7" s="130"/>
      <x:c r="E7" s="130"/>
      <x:c r="F7" s="130"/>
      <x:c r="G7" s="130"/>
      <x:c r="H7" s="130"/>
      <x:c r="I7" s="130"/>
      <x:c r="J7" s="130"/>
      <x:c r="K7" s="130"/>
      <x:c r="L7" s="130"/>
    </x:row>
    <x:row r="8">
      <x:c r="A8" s="130"/>
      <x:c r="B8" s="130"/>
      <x:c r="C8" s="130"/>
      <x:c r="D8" s="130"/>
      <x:c r="E8" s="130"/>
      <x:c r="F8" s="130"/>
      <x:c r="G8" s="130"/>
      <x:c r="H8" s="130"/>
      <x:c r="I8" s="130"/>
      <x:c r="J8" s="130"/>
      <x:c r="K8" s="130"/>
      <x:c r="L8" s="130"/>
    </x:row>
    <x:row r="9">
      <x:c r="A9" s="97" t="str">
        <x:v>Three-Year Benefit Projection</x:v>
      </x:c>
      <x:c r="B9" s="97"/>
      <x:c r="C9" s="97"/>
      <x:c r="D9" s="97"/>
      <x:c r="E9" s="97"/>
      <x:c r="F9" s="97"/>
      <x:c r="G9" s="97"/>
      <x:c r="H9" s="97"/>
      <x:c r="I9" s="130"/>
      <x:c r="J9" s="130"/>
      <x:c r="K9" s="130"/>
      <x:c r="L9" s="130"/>
    </x:row>
    <x:row r="10">
      <x:c r="A10" s="16" t="str">
        <x:v>Year</x:v>
      </x:c>
      <x:c r="B10" s="16" t="str">
        <x:v>Projected QMA Volume</x:v>
      </x:c>
      <x:c r="C10" s="16" t="str">
        <x:v>Annual Benefit</x:v>
      </x:c>
      <x:c r="D10" s="16" t="str">
        <x:v>FTE Equivalent</x:v>
      </x:c>
      <x:c r="E10" s="16" t="str">
        <x:v>Hours Saved</x:v>
      </x:c>
      <x:c r="F10" s="130"/>
      <x:c r="G10" s="130"/>
      <x:c r="H10" s="130"/>
      <x:c r="I10" s="130"/>
      <x:c r="J10" s="130"/>
      <x:c r="K10" s="130"/>
      <x:c r="L10" s="130"/>
    </x:row>
    <x:row r="11">
      <x:c r="A11" s="130" t="n">
        <x:v>2026</x:v>
      </x:c>
      <x:c r="B11" s="132" t="n">
        <x:f>Assumptions!B6</x:f>
        <x:v>33635000</x:v>
      </x:c>
      <x:c r="C11" s="133" t="n">
        <x:f>Assumptions!B9</x:f>
        <x:v>11000000</x:v>
      </x:c>
      <x:c r="D11" s="134" t="n">
        <x:f>C11/Assumptions!$B$8</x:f>
        <x:v>48.888888888888886</x:v>
      </x:c>
      <x:c r="E11" s="132" t="n">
        <x:f>D11*Assumptions!$B$7</x:f>
        <x:v>88000</x:v>
      </x:c>
      <x:c r="F11" s="130"/>
      <x:c r="G11" s="130"/>
      <x:c r="H11" s="130"/>
      <x:c r="I11" s="130"/>
      <x:c r="J11" s="130"/>
      <x:c r="K11" s="130"/>
      <x:c r="L11" s="130"/>
    </x:row>
    <x:row r="12">
      <x:c r="A12" s="130" t="n">
        <x:v>2027</x:v>
      </x:c>
      <x:c r="B12" s="132" t="n">
        <x:f>B11*(1+Assumptions!$B$5)</x:f>
        <x:v>36493975</x:v>
      </x:c>
      <x:c r="C12" s="133" t="n">
        <x:f>C11*(1+Assumptions!$B$5)</x:f>
        <x:v>11935000</x:v>
      </x:c>
      <x:c r="D12" s="134" t="n">
        <x:f>C12/Assumptions!$B$8</x:f>
        <x:v>53.044444444444444</x:v>
      </x:c>
      <x:c r="E12" s="132" t="n">
        <x:f>D12*Assumptions!$B$7</x:f>
        <x:v>95480</x:v>
      </x:c>
      <x:c r="F12" s="130"/>
      <x:c r="G12" s="130"/>
      <x:c r="H12" s="130"/>
      <x:c r="I12" s="130"/>
      <x:c r="J12" s="130"/>
      <x:c r="K12" s="130"/>
      <x:c r="L12" s="130"/>
    </x:row>
    <x:row r="13">
      <x:c r="A13" s="130" t="n">
        <x:v>2028</x:v>
      </x:c>
      <x:c r="B13" s="132" t="n">
        <x:f>B12*(1+Assumptions!$B$5)</x:f>
        <x:v>39595962.875</x:v>
      </x:c>
      <x:c r="C13" s="133" t="n">
        <x:f>C12*(1+Assumptions!$B$5)</x:f>
        <x:v>12949475</x:v>
      </x:c>
      <x:c r="D13" s="134" t="n">
        <x:f>C13/Assumptions!$B$8</x:f>
        <x:v>57.553222222222225</x:v>
      </x:c>
      <x:c r="E13" s="132" t="n">
        <x:f>D13*Assumptions!$B$7</x:f>
        <x:v>103595.8</x:v>
      </x:c>
      <x:c r="F13" s="130"/>
      <x:c r="G13" s="130"/>
      <x:c r="H13" s="130"/>
      <x:c r="I13" s="130"/>
      <x:c r="J13" s="130"/>
      <x:c r="K13" s="130"/>
      <x:c r="L13" s="130"/>
    </x:row>
    <x:row r="14">
      <x:c r="A14" s="135" t="str">
        <x:v>3-Year Total</x:v>
      </x:c>
      <x:c r="B14" s="135" t="str"/>
      <x:c r="C14" s="136" t="n">
        <x:f>SUM(C11:C13)</x:f>
        <x:v>35884475</x:v>
      </x:c>
      <x:c r="D14" s="135" t="str"/>
      <x:c r="E14" s="137" t="n">
        <x:f>SUM(E11:E13)</x:f>
        <x:v>287075.8</x:v>
      </x:c>
      <x:c r="F14" s="130"/>
      <x:c r="G14" s="130"/>
      <x:c r="H14" s="130"/>
      <x:c r="I14" s="130"/>
      <x:c r="J14" s="130"/>
      <x:c r="K14" s="130"/>
      <x:c r="L14" s="130"/>
    </x:row>
    <x:row r="15">
      <x:c r="A15" s="130"/>
      <x:c r="B15" s="130"/>
      <x:c r="C15" s="130"/>
      <x:c r="D15" s="130"/>
      <x:c r="E15" s="130"/>
      <x:c r="F15" s="130"/>
      <x:c r="G15" s="130"/>
      <x:c r="H15" s="130"/>
      <x:c r="I15" s="130"/>
      <x:c r="J15" s="130"/>
      <x:c r="K15" s="130"/>
      <x:c r="L15" s="130"/>
    </x:row>
    <x:row r="16" ht="36" customHeight="1">
      <x:c r="A16" s="138" t="str">
        <x:v>ROI message: $600K investment vs. $11M projected annual benefit (~18.3x gross benefit-to-budget).</x:v>
      </x:c>
      <x:c r="B16" s="138"/>
      <x:c r="C16" s="138"/>
      <x:c r="D16" s="138"/>
      <x:c r="E16" s="138"/>
      <x:c r="F16" s="138"/>
      <x:c r="G16" s="138"/>
      <x:c r="H16" s="138"/>
      <x:c r="I16" s="130"/>
      <x:c r="J16" s="130"/>
      <x:c r="K16" s="130"/>
      <x:c r="L16" s="130"/>
    </x:row>
    <x:row r="17">
      <x:c r="A17" s="130"/>
      <x:c r="B17" s="130"/>
      <x:c r="C17" s="130"/>
      <x:c r="D17" s="130"/>
      <x:c r="E17" s="130"/>
      <x:c r="F17" s="130"/>
      <x:c r="G17" s="130"/>
      <x:c r="H17" s="130"/>
      <x:c r="I17" s="130"/>
      <x:c r="J17" s="130"/>
      <x:c r="K17" s="130"/>
      <x:c r="L17" s="130"/>
    </x:row>
    <x:row r="18">
      <x:c r="A18" s="130"/>
      <x:c r="B18" s="130"/>
      <x:c r="C18" s="130"/>
      <x:c r="D18" s="130"/>
      <x:c r="E18" s="130"/>
      <x:c r="F18" s="130"/>
      <x:c r="G18" s="130"/>
      <x:c r="H18" s="130"/>
      <x:c r="I18" s="130"/>
      <x:c r="J18" s="130"/>
      <x:c r="K18" s="130"/>
      <x:c r="L18" s="130"/>
    </x:row>
    <x:row r="19">
      <x:c r="A19" s="97" t="str">
        <x:v>Feature-Level Annual Benefit Allocation</x:v>
      </x:c>
      <x:c r="B19" s="97"/>
      <x:c r="C19" s="97"/>
      <x:c r="D19" s="97"/>
      <x:c r="E19" s="97"/>
      <x:c r="F19" s="97"/>
      <x:c r="G19" s="97"/>
      <x:c r="H19" s="97"/>
      <x:c r="I19" s="130"/>
      <x:c r="J19" s="130"/>
      <x:c r="K19" s="130"/>
      <x:c r="L19" s="130"/>
    </x:row>
    <x:row r="20">
      <x:c r="A20" s="16" t="str">
        <x:v>Sr No</x:v>
      </x:c>
      <x:c r="B20" s="16" t="str">
        <x:v>Feature</x:v>
      </x:c>
      <x:c r="C20" s="16" t="str">
        <x:v>Annual Benefit</x:v>
      </x:c>
      <x:c r="D20" s="16" t="str">
        <x:v>FTE Equivalent</x:v>
      </x:c>
      <x:c r="E20" s="16" t="str">
        <x:v>Visual allocation</x:v>
      </x:c>
      <x:c r="F20" s="130"/>
      <x:c r="G20" s="130"/>
      <x:c r="H20" s="130"/>
      <x:c r="I20" s="130"/>
      <x:c r="J20" s="130"/>
      <x:c r="K20" s="130"/>
      <x:c r="L20" s="130"/>
    </x:row>
    <x:row r="21">
      <x:c r="A21" s="130" t="n">
        <x:f>Back_of_Envelope!A5</x:f>
        <x:v>1</x:v>
      </x:c>
      <x:c r="B21" s="139" t="str">
        <x:f>Back_of_Envelope!B5</x:f>
        <x:v>Intent Classification + Auto Suggest routing</x:v>
      </x:c>
      <x:c r="C21" s="140" t="n">
        <x:f>Back_of_Envelope!C5</x:f>
        <x:v>3190000</x:v>
      </x:c>
      <x:c r="D21" s="141" t="n">
        <x:f>Back_of_Envelope!F5</x:f>
        <x:v>14.177777777777777</x:v>
      </x:c>
      <x:c r="E21" s="142" t="str">
        <x:f>REPT("█",ROUND(Back_of_Envelope!D5*50,0))</x:f>
        <x:v>██████████████</x:v>
      </x:c>
      <x:c r="F21" s="130"/>
      <x:c r="G21" s="130"/>
      <x:c r="H21" s="130"/>
      <x:c r="I21" s="130"/>
      <x:c r="J21" s="130"/>
      <x:c r="K21" s="130"/>
      <x:c r="L21" s="130"/>
    </x:row>
    <x:row r="22">
      <x:c r="A22" s="130" t="n">
        <x:f>Back_of_Envelope!A6</x:f>
        <x:v>2</x:v>
      </x:c>
      <x:c r="B22" s="139" t="str">
        <x:f>Back_of_Envelope!B6</x:f>
        <x:v>EDGE Assist summaries + trading/reference data + fail insights</x:v>
      </x:c>
      <x:c r="C22" s="140" t="n">
        <x:f>Back_of_Envelope!C6</x:f>
        <x:v>2530000</x:v>
      </x:c>
      <x:c r="D22" s="141" t="n">
        <x:f>Back_of_Envelope!F6</x:f>
        <x:v>11.244444444444444</x:v>
      </x:c>
      <x:c r="E22" s="142" t="str">
        <x:f>REPT("█",ROUND(Back_of_Envelope!D6*50,0))</x:f>
        <x:v>████████████</x:v>
      </x:c>
      <x:c r="F22" s="130"/>
      <x:c r="G22" s="130"/>
      <x:c r="H22" s="130"/>
      <x:c r="I22" s="130"/>
      <x:c r="J22" s="130"/>
      <x:c r="K22" s="130"/>
      <x:c r="L22" s="130"/>
    </x:row>
    <x:row r="23">
      <x:c r="A23" s="130" t="n">
        <x:f>Back_of_Envelope!A7</x:f>
        <x:v>3</x:v>
      </x:c>
      <x:c r="B23" s="139" t="str">
        <x:f>Back_of_Envelope!B7</x:f>
        <x:v>Document &amp; email classification for invoice processing</x:v>
      </x:c>
      <x:c r="C23" s="140" t="n">
        <x:f>Back_of_Envelope!C7</x:f>
        <x:v>1430000</x:v>
      </x:c>
      <x:c r="D23" s="141" t="n">
        <x:f>Back_of_Envelope!F7</x:f>
        <x:v>6.355555555555555</x:v>
      </x:c>
      <x:c r="E23" s="142" t="str">
        <x:f>REPT("█",ROUND(Back_of_Envelope!D7*50,0))</x:f>
        <x:v>███████</x:v>
      </x:c>
      <x:c r="F23" s="130"/>
      <x:c r="G23" s="130"/>
      <x:c r="H23" s="130"/>
      <x:c r="I23" s="130"/>
      <x:c r="J23" s="130"/>
      <x:c r="K23" s="130"/>
      <x:c r="L23" s="130"/>
    </x:row>
    <x:row r="24">
      <x:c r="A24" s="130" t="n">
        <x:f>Back_of_Envelope!A8</x:f>
        <x:v>4</x:v>
      </x:c>
      <x:c r="B24" s="139" t="str">
        <x:f>Back_of_Envelope!B8</x:f>
        <x:v>Business Process Straight-Through Processing / case creation</x:v>
      </x:c>
      <x:c r="C24" s="140" t="n">
        <x:f>Back_of_Envelope!C8</x:f>
        <x:v>1100000</x:v>
      </x:c>
      <x:c r="D24" s="141" t="n">
        <x:f>Back_of_Envelope!F8</x:f>
        <x:v>4.888888888888889</x:v>
      </x:c>
      <x:c r="E24" s="142" t="str">
        <x:f>REPT("█",ROUND(Back_of_Envelope!D8*50,0))</x:f>
        <x:v>█████</x:v>
      </x:c>
      <x:c r="F24" s="130"/>
      <x:c r="G24" s="130"/>
      <x:c r="H24" s="130"/>
      <x:c r="I24" s="130"/>
      <x:c r="J24" s="130"/>
      <x:c r="K24" s="130"/>
      <x:c r="L24" s="130"/>
    </x:row>
    <x:row r="25">
      <x:c r="A25" s="130" t="n">
        <x:f>Back_of_Envelope!A9</x:f>
        <x:v>5</x:v>
      </x:c>
      <x:c r="B25" s="139" t="str">
        <x:f>Back_of_Envelope!B9</x:f>
        <x:v>Smart Search using semantic search</x:v>
      </x:c>
      <x:c r="C25" s="140" t="n">
        <x:f>Back_of_Envelope!C9</x:f>
        <x:v>990000</x:v>
      </x:c>
      <x:c r="D25" s="141" t="n">
        <x:f>Back_of_Envelope!F9</x:f>
        <x:v>4.4</x:v>
      </x:c>
      <x:c r="E25" s="142" t="str">
        <x:f>REPT("█",ROUND(Back_of_Envelope!D9*50,0))</x:f>
        <x:v>█████</x:v>
      </x:c>
      <x:c r="F25" s="130"/>
      <x:c r="G25" s="130"/>
      <x:c r="H25" s="130"/>
      <x:c r="I25" s="130"/>
      <x:c r="J25" s="130"/>
      <x:c r="K25" s="130"/>
      <x:c r="L25" s="130"/>
    </x:row>
    <x:row r="26">
      <x:c r="A26" s="130" t="n">
        <x:f>Back_of_Envelope!A10</x:f>
        <x:v>6</x:v>
      </x:c>
      <x:c r="B26" s="139" t="str">
        <x:f>Back_of_Envelope!B10</x:f>
        <x:v>Margin Calls notification automation</x:v>
      </x:c>
      <x:c r="C26" s="140" t="n">
        <x:f>Back_of_Envelope!C10</x:f>
        <x:v>880000</x:v>
      </x:c>
      <x:c r="D26" s="141" t="n">
        <x:f>Back_of_Envelope!F10</x:f>
        <x:v>3.911111111111111</x:v>
      </x:c>
      <x:c r="E26" s="142" t="str">
        <x:f>REPT("█",ROUND(Back_of_Envelope!D10*50,0))</x:f>
        <x:v>████</x:v>
      </x:c>
      <x:c r="F26" s="130"/>
      <x:c r="G26" s="130"/>
      <x:c r="H26" s="130"/>
      <x:c r="I26" s="130"/>
      <x:c r="J26" s="130"/>
      <x:c r="K26" s="130"/>
      <x:c r="L26" s="130"/>
    </x:row>
    <x:row r="27">
      <x:c r="A27" s="130" t="n">
        <x:f>Back_of_Envelope!A11</x:f>
        <x:v>7</x:v>
      </x:c>
      <x:c r="B27" s="139" t="str">
        <x:f>Back_of_Envelope!B11</x:f>
        <x:v>Topic Modeling + QMA Insights</x:v>
      </x:c>
      <x:c r="C27" s="140" t="n">
        <x:f>Back_of_Envelope!C11</x:f>
        <x:v>880000</x:v>
      </x:c>
      <x:c r="D27" s="141" t="n">
        <x:f>Back_of_Envelope!F11</x:f>
        <x:v>3.911111111111111</x:v>
      </x:c>
      <x:c r="E27" s="142" t="str">
        <x:f>REPT("█",ROUND(Back_of_Envelope!D11*50,0))</x:f>
        <x:v>████</x:v>
      </x:c>
      <x:c r="F27" s="130"/>
      <x:c r="G27" s="130"/>
      <x:c r="H27" s="130"/>
      <x:c r="I27" s="130"/>
      <x:c r="J27" s="130"/>
      <x:c r="K27" s="130"/>
      <x:c r="L27" s="130"/>
    </x:row>
    <x:row r="28">
      <x:c r="A28" s="135" t="str"/>
      <x:c r="B28" s="135" t="str">
        <x:v>Total</x:v>
      </x:c>
      <x:c r="C28" s="143" t="n">
        <x:f>SUM(C21:C27)</x:f>
        <x:v>11000000</x:v>
      </x:c>
      <x:c r="D28" s="144" t="n">
        <x:f>SUM(D21:D27)</x:f>
        <x:v>48.888888888888886</x:v>
      </x:c>
      <x:c r="E28" s="135" t="str"/>
      <x:c r="F28" s="130"/>
      <x:c r="G28" s="130"/>
      <x:c r="H28" s="130"/>
      <x:c r="I28" s="130"/>
      <x:c r="J28" s="130"/>
      <x:c r="K28" s="130"/>
      <x:c r="L28" s="130"/>
    </x:row>
    <x:row r="29">
      <x:c r="A29" s="130"/>
      <x:c r="B29" s="130"/>
      <x:c r="C29" s="130"/>
      <x:c r="D29" s="130"/>
      <x:c r="E29" s="130"/>
      <x:c r="F29" s="130"/>
      <x:c r="G29" s="130"/>
      <x:c r="H29" s="130"/>
      <x:c r="I29" s="130"/>
      <x:c r="J29" s="130"/>
      <x:c r="K29" s="130"/>
      <x:c r="L29" s="130"/>
    </x:row>
    <x:row r="30">
      <x:c r="A30" s="130"/>
      <x:c r="B30" s="130"/>
      <x:c r="C30" s="130"/>
      <x:c r="D30" s="130"/>
      <x:c r="E30" s="130"/>
      <x:c r="F30" s="130"/>
      <x:c r="G30" s="130"/>
      <x:c r="H30" s="130"/>
      <x:c r="I30" s="130"/>
      <x:c r="J30" s="130"/>
      <x:c r="K30" s="130"/>
      <x:c r="L30" s="130"/>
    </x:row>
    <x:row r="31">
      <x:c r="A31" s="97" t="str">
        <x:v>Recommended Benefit Driver Mapping</x:v>
      </x:c>
      <x:c r="B31" s="97"/>
      <x:c r="C31" s="97"/>
      <x:c r="D31" s="97"/>
      <x:c r="E31" s="97"/>
      <x:c r="F31" s="130"/>
      <x:c r="G31" s="130"/>
      <x:c r="H31" s="130"/>
      <x:c r="I31" s="130"/>
      <x:c r="J31" s="130"/>
      <x:c r="K31" s="130"/>
      <x:c r="L31" s="130"/>
    </x:row>
    <x:row r="32">
      <x:c r="A32" s="16" t="str">
        <x:v>Feature Group</x:v>
      </x:c>
      <x:c r="B32" s="16" t="str">
        <x:v>Benefit</x:v>
      </x:c>
      <x:c r="C32" s="16" t="str">
        <x:v>Benefit Driver</x:v>
      </x:c>
      <x:c r="D32" s="16" t="str">
        <x:v>Measure Type</x:v>
      </x:c>
      <x:c r="E32" s="16" t="str">
        <x:v>Unit Measure</x:v>
      </x:c>
      <x:c r="F32" s="130"/>
      <x:c r="G32" s="130"/>
      <x:c r="H32" s="130"/>
      <x:c r="I32" s="130"/>
      <x:c r="J32" s="130"/>
      <x:c r="K32" s="130"/>
      <x:c r="L32" s="130"/>
    </x:row>
    <x:row r="33">
      <x:c r="A33" s="139" t="str">
        <x:v>Routing / Auto Suggest</x:v>
      </x:c>
      <x:c r="B33" s="139" t="str">
        <x:v>Driving Efficiency</x:v>
      </x:c>
      <x:c r="C33" s="139" t="str">
        <x:v>Client Experience + Process Efficiency</x:v>
      </x:c>
      <x:c r="D33" s="139" t="str">
        <x:v>Manual Touchpoints</x:v>
      </x:c>
      <x:c r="E33" s="139" t="str">
        <x:v>#</x:v>
      </x:c>
      <x:c r="F33" s="130"/>
      <x:c r="G33" s="130"/>
      <x:c r="H33" s="130"/>
      <x:c r="I33" s="130"/>
      <x:c r="J33" s="130"/>
      <x:c r="K33" s="130"/>
      <x:c r="L33" s="130"/>
    </x:row>
    <x:row r="34">
      <x:c r="A34" s="139" t="str">
        <x:v>Document Classification / STP</x:v>
      </x:c>
      <x:c r="B34" s="139" t="str">
        <x:v>Driving Efficiency</x:v>
      </x:c>
      <x:c r="C34" s="139" t="str">
        <x:v>Process Efficiency</x:v>
      </x:c>
      <x:c r="D34" s="139" t="str">
        <x:v>Manual Touchpoints</x:v>
      </x:c>
      <x:c r="E34" s="139" t="str">
        <x:v>#</x:v>
      </x:c>
      <x:c r="F34" s="130"/>
      <x:c r="G34" s="130"/>
      <x:c r="H34" s="130"/>
      <x:c r="I34" s="130"/>
      <x:c r="J34" s="130"/>
      <x:c r="K34" s="130"/>
      <x:c r="L34" s="130"/>
    </x:row>
    <x:row r="35">
      <x:c r="A35" s="139" t="str">
        <x:v>EDGE Assist / Smart Search</x:v>
      </x:c>
      <x:c r="B35" s="139" t="str">
        <x:v>Driving Efficiency</x:v>
      </x:c>
      <x:c r="C35" s="139" t="str">
        <x:v>Client Experience</x:v>
      </x:c>
      <x:c r="D35" s="139" t="str">
        <x:v>Other qualitative value + hours saved</x:v>
      </x:c>
      <x:c r="E35" s="139" t="str">
        <x:v>hours</x:v>
      </x:c>
      <x:c r="F35" s="130"/>
      <x:c r="G35" s="130"/>
      <x:c r="H35" s="130"/>
      <x:c r="I35" s="130"/>
      <x:c r="J35" s="130"/>
      <x:c r="K35" s="130"/>
      <x:c r="L35" s="130"/>
    </x:row>
    <x:row r="36">
      <x:c r="A36" s="139" t="str">
        <x:v>Topic Modeling / QMA Insights</x:v>
      </x:c>
      <x:c r="B36" s="139" t="str">
        <x:v>Driving Efficiency</x:v>
      </x:c>
      <x:c r="C36" s="139" t="str">
        <x:v>Client Experience</x:v>
      </x:c>
      <x:c r="D36" s="139" t="str">
        <x:v>Customer Satisfaction / NPS / VOC + process themes</x:v>
      </x:c>
      <x:c r="E36" s="139" t="str">
        <x:v>% / themes</x:v>
      </x:c>
      <x:c r="F36" s="130"/>
      <x:c r="G36" s="130"/>
      <x:c r="H36" s="130"/>
      <x:c r="I36" s="130"/>
      <x:c r="J36" s="130"/>
      <x:c r="K36" s="130"/>
      <x:c r="L36" s="130"/>
    </x:row>
    <x:row r="37">
      <x:c r="A37" s="139" t="str">
        <x:v>Annualized FTE Benefit</x:v>
      </x:c>
      <x:c r="B37" s="139" t="str">
        <x:v>Delivering Financial Impact</x:v>
      </x:c>
      <x:c r="C37" s="139" t="str">
        <x:v>Operational Expense Savings/Efficiency</x:v>
      </x:c>
      <x:c r="D37" s="139" t="str">
        <x:v>Expense Savings / Head Count</x:v>
      </x:c>
      <x:c r="E37" s="139" t="str">
        <x:v>$ / FTE</x:v>
      </x:c>
      <x:c r="F37" s="130"/>
      <x:c r="G37" s="130"/>
      <x:c r="H37" s="130"/>
      <x:c r="I37" s="130"/>
      <x:c r="J37" s="130"/>
      <x:c r="K37" s="130"/>
      <x:c r="L37" s="130"/>
    </x:row>
    <x:row r="38">
      <x:c r="A38" s="130"/>
      <x:c r="B38" s="130"/>
      <x:c r="C38" s="130"/>
      <x:c r="D38" s="130"/>
      <x:c r="E38" s="130"/>
      <x:c r="F38" s="130"/>
      <x:c r="G38" s="130"/>
      <x:c r="H38" s="130"/>
      <x:c r="I38" s="130"/>
      <x:c r="J38" s="130"/>
      <x:c r="K38" s="130"/>
      <x:c r="L38" s="130"/>
    </x:row>
    <x:row r="39">
      <x:c r="A39" s="130"/>
      <x:c r="B39" s="130"/>
      <x:c r="C39" s="130"/>
      <x:c r="D39" s="130"/>
      <x:c r="E39" s="130"/>
      <x:c r="F39" s="130"/>
      <x:c r="G39" s="130"/>
      <x:c r="H39" s="130"/>
      <x:c r="I39" s="130"/>
      <x:c r="J39" s="130"/>
      <x:c r="K39" s="130"/>
      <x:c r="L39" s="130"/>
    </x:row>
    <x:row r="40">
      <x:c r="A40" s="130"/>
      <x:c r="B40" s="130"/>
      <x:c r="C40" s="130"/>
      <x:c r="D40" s="130"/>
      <x:c r="E40" s="130"/>
      <x:c r="F40" s="130"/>
      <x:c r="G40" s="130"/>
      <x:c r="H40" s="130"/>
      <x:c r="I40" s="130"/>
      <x:c r="J40" s="130"/>
      <x:c r="K40" s="130"/>
      <x:c r="L40" s="130"/>
    </x:row>
  </x:sheetData>
  <x:mergeCells>
    <x:mergeCell ref="A1:H1"/>
    <x:mergeCell ref="A2:H2"/>
    <x:mergeCell ref="A9:H9"/>
    <x:mergeCell ref="A16:H16"/>
    <x:mergeCell ref="A19:H19"/>
    <x:mergeCell ref="A31:E31"/>
    <x:mergeCell ref="F9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18" hidden="0" customWidth="1"/>
    <x:col min="4" max="4" width="16" hidden="0" customWidth="1"/>
    <x:col min="5" max="5" width="15" hidden="0" customWidth="1"/>
    <x:col min="6" max="6" width="14" hidden="0" customWidth="1"/>
    <x:col min="7" max="7" width="14" hidden="0" customWidth="1"/>
    <x:col min="8" max="8" width="16" hidden="0" customWidth="1"/>
    <x:col min="9" max="9" width="18" hidden="0" customWidth="1"/>
    <x:col min="10" max="10" width="18" hidden="0" customWidth="1"/>
    <x:col min="11" max="11" width="45" hidden="0" customWidth="1"/>
    <x:col min="12" max="12" width="45" hidden="0" customWidth="1"/>
  </x:cols>
  <x:sheetData>
    <x:row r="1" ht="28" customHeight="1">
      <x:c r="A1" s="6" t="str">
        <x:v>QMA GenAI Benefits — Feature-Level Back-of-Envelope Calculation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2" ht="34" customHeight="1">
      <x:c r="A2" s="131" t="str">
        <x:v>Purpose: translate the $11M annual benefit target into hours, FTEs and feature-level benefit. Project budget: $600K.</x:v>
      </x:c>
      <x:c r="B2" s="131"/>
      <x:c r="C2" s="131"/>
      <x:c r="D2" s="131"/>
      <x:c r="E2" s="131"/>
      <x:c r="F2" s="131"/>
      <x:c r="G2" s="131"/>
      <x:c r="H2" s="131"/>
      <x:c r="I2" s="131"/>
      <x:c r="J2" s="131"/>
      <x:c r="K2" s="131"/>
      <x:c r="L2" s="131"/>
    </x:row>
    <x:row r="3">
      <x:c r="A3" s="130"/>
      <x:c r="B3" s="130"/>
      <x:c r="C3" s="130"/>
      <x:c r="D3" s="130"/>
      <x:c r="E3" s="130"/>
      <x:c r="F3" s="130"/>
      <x:c r="G3" s="130"/>
      <x:c r="H3" s="130"/>
      <x:c r="I3" s="130"/>
      <x:c r="J3" s="130"/>
      <x:c r="K3" s="130"/>
      <x:c r="L3" s="130"/>
    </x:row>
    <x:row r="4" ht="42" customHeight="1">
      <x:c r="A4" s="16" t="str">
        <x:v>Sr No</x:v>
      </x:c>
      <x:c r="B4" s="16" t="str">
        <x:v>Main Feature Description</x:v>
      </x:c>
      <x:c r="C4" s="16" t="str">
        <x:v>Recommended Saving due to Feature</x:v>
      </x:c>
      <x:c r="D4" s="16" t="str">
        <x:v>Allocation of $3.4M Target</x:v>
      </x:c>
      <x:c r="E4" s="16" t="str">
        <x:v>Hours Saved / Year</x:v>
      </x:c>
      <x:c r="F4" s="16" t="str">
        <x:v>FTE Equivalent</x:v>
      </x:c>
      <x:c r="G4" s="16" t="str">
        <x:v>Cumulative FTEs</x:v>
      </x:c>
      <x:c r="H4" s="16" t="str">
        <x:v>% of 2026 QMA Volume Touched</x:v>
      </x:c>
      <x:c r="I4" s="16" t="str">
        <x:v>Touched Emails / Events / Year</x:v>
      </x:c>
      <x:c r="J4" s="16" t="str">
        <x:v>Required Avg Seconds Saved / Touched Event</x:v>
      </x:c>
      <x:c r="K4" s="16" t="str">
        <x:v>Saving Mechanism / BOE Rationale</x:v>
      </x:c>
      <x:c r="L4" s="16" t="str">
        <x:v>Validation Evidence Needed</x:v>
      </x:c>
    </x:row>
    <x:row r="5">
      <x:c r="A5" s="160" t="n">
        <x:v>1</x:v>
      </x:c>
      <x:c r="B5" s="161" t="str">
        <x:v>Intent Classification + Auto Suggest routing</x:v>
      </x:c>
      <x:c r="C5" s="162" t="n">
        <x:f>D5*Assumptions!$B$9</x:f>
        <x:v>3190000</x:v>
      </x:c>
      <x:c r="D5" s="163" t="n">
        <x:v>0.29</x:v>
      </x:c>
      <x:c r="E5" s="164" t="n">
        <x:f>C5/Assumptions!$B$8*Assumptions!$B$7</x:f>
        <x:v>25520</x:v>
      </x:c>
      <x:c r="F5" s="165" t="n">
        <x:f>E5/Assumptions!$B$7</x:f>
        <x:v>14.177777777777777</x:v>
      </x:c>
      <x:c r="G5" s="165" t="n">
        <x:f>SUM($F$5:F5)</x:f>
        <x:v>14.177777777777777</x:v>
      </x:c>
      <x:c r="H5" s="166" t="n">
        <x:v>0.035</x:v>
      </x:c>
      <x:c r="I5" s="164" t="n">
        <x:f>H5*Assumptions!$B$6</x:f>
        <x:v>1177225</x:v>
      </x:c>
      <x:c r="J5" s="167" t="n">
        <x:f>IF(I5=0,0,E5*3600/I5)</x:f>
        <x:v>78.04115610864532</x:v>
      </x:c>
      <x:c r="K5" s="161" t="str">
        <x:v>Classify incoming QMA intent and recommend the correct operational queue/group so fewer emails are manually triaged, forwarded, or reworked.</x:v>
      </x:c>
      <x:c r="L5" s="161" t="str">
        <x:v>Routing accuracy by intent, % emails auto-suggested, manual reroute rate, before/after triage handling time.</x:v>
      </x:c>
    </x:row>
    <x:row r="6">
      <x:c r="A6" s="160" t="n">
        <x:v>2</x:v>
      </x:c>
      <x:c r="B6" s="161" t="str">
        <x:v>EDGE Assist summaries + trading/reference data + fail insights</x:v>
      </x:c>
      <x:c r="C6" s="162" t="n">
        <x:f>D6*Assumptions!$B$9</x:f>
        <x:v>2530000</x:v>
      </x:c>
      <x:c r="D6" s="163" t="n">
        <x:v>0.23</x:v>
      </x:c>
      <x:c r="E6" s="164" t="n">
        <x:f>C6/Assumptions!$B$8*Assumptions!$B$7</x:f>
        <x:v>20240</x:v>
      </x:c>
      <x:c r="F6" s="165" t="n">
        <x:f>E6/Assumptions!$B$7</x:f>
        <x:v>11.244444444444444</x:v>
      </x:c>
      <x:c r="G6" s="165" t="n">
        <x:f>SUM($F$5:F6)</x:f>
        <x:v>25.42222222222222</x:v>
      </x:c>
      <x:c r="H6" s="166" t="n">
        <x:v>0.015</x:v>
      </x:c>
      <x:c r="I6" s="164" t="n">
        <x:f>H6*Assumptions!$B$6</x:f>
        <x:v>504525</x:v>
      </x:c>
      <x:c r="J6" s="167" t="n">
        <x:f>IF(I6=0,0,E6*3600/I6)</x:f>
        <x:v>144.42099004013676</x:v>
      </x:c>
      <x:c r="K6" s="161" t="str">
        <x:v>Summarize long email threads and enrich with trading systems/reference data/fail insights so analysts spend less time reading and reconciling facts.</x:v>
      </x:c>
      <x:c r="L6" s="161" t="str">
        <x:v>Average thread review time, assisted cases, analyst acceptance rate, reduction in back-and-forth.</x:v>
      </x:c>
    </x:row>
    <x:row r="7">
      <x:c r="A7" s="160" t="n">
        <x:v>3</x:v>
      </x:c>
      <x:c r="B7" s="161" t="str">
        <x:v>Document &amp; email classification for invoice processing</x:v>
      </x:c>
      <x:c r="C7" s="162" t="n">
        <x:f>D7*Assumptions!$B$9</x:f>
        <x:v>1430000</x:v>
      </x:c>
      <x:c r="D7" s="163" t="n">
        <x:v>0.13</x:v>
      </x:c>
      <x:c r="E7" s="164" t="n">
        <x:f>C7/Assumptions!$B$8*Assumptions!$B$7</x:f>
        <x:v>11440</x:v>
      </x:c>
      <x:c r="F7" s="165" t="n">
        <x:f>E7/Assumptions!$B$7</x:f>
        <x:v>6.355555555555555</x:v>
      </x:c>
      <x:c r="G7" s="165" t="n">
        <x:f>SUM($F$5:F7)</x:f>
        <x:v>31.777777777777775</x:v>
      </x:c>
      <x:c r="H7" s="166" t="n">
        <x:v>0.002</x:v>
      </x:c>
      <x:c r="I7" s="164" t="n">
        <x:f>H7*Assumptions!$B$6</x:f>
        <x:v>67270</x:v>
      </x:c>
      <x:c r="J7" s="167" t="n">
        <x:f>IF(I7=0,0,E7*3600/I7)</x:f>
        <x:v>612.2194143005797</x:v>
      </x:c>
      <x:c r="K7" s="161" t="str">
        <x:v>Classify attachments, isolate invoices, pair invoice/summary documents and prepare downstream case creation.</x:v>
      </x:c>
      <x:c r="L7" s="161" t="str">
        <x:v>Invoice volume, document classification accuracy, pairing accuracy, manual touch time avoided per invoice.</x:v>
      </x:c>
    </x:row>
    <x:row r="8">
      <x:c r="A8" s="160" t="n">
        <x:v>4</x:v>
      </x:c>
      <x:c r="B8" s="161" t="str">
        <x:v>Business Process Straight-Through Processing / case creation</x:v>
      </x:c>
      <x:c r="C8" s="162" t="n">
        <x:f>D8*Assumptions!$B$9</x:f>
        <x:v>1100000</x:v>
      </x:c>
      <x:c r="D8" s="163" t="n">
        <x:v>0.1</x:v>
      </x:c>
      <x:c r="E8" s="164" t="n">
        <x:f>C8/Assumptions!$B$8*Assumptions!$B$7</x:f>
        <x:v>8800</x:v>
      </x:c>
      <x:c r="F8" s="165" t="n">
        <x:f>E8/Assumptions!$B$7</x:f>
        <x:v>4.888888888888889</x:v>
      </x:c>
      <x:c r="G8" s="165" t="n">
        <x:f>SUM($F$5:F8)</x:f>
        <x:v>36.666666666666664</x:v>
      </x:c>
      <x:c r="H8" s="166" t="n">
        <x:v>0.0015</x:v>
      </x:c>
      <x:c r="I8" s="164" t="n">
        <x:f>H8*Assumptions!$B$6</x:f>
        <x:v>50452.5</x:v>
      </x:c>
      <x:c r="J8" s="167" t="n">
        <x:f>IF(I8=0,0,E8*3600/I8)</x:f>
        <x:v>627.9173480005946</x:v>
      </x:c>
      <x:c r="K8" s="161" t="str">
        <x:v>Automate repeatable routing/case-creation steps where intent, documents and operational ownership are unambiguous.</x:v>
      </x:c>
      <x:c r="L8" s="161" t="str">
        <x:v>STP eligible volumes, exception rate, case creation time, manual fallback volumes.</x:v>
      </x:c>
    </x:row>
    <x:row r="9">
      <x:c r="A9" s="160" t="n">
        <x:v>5</x:v>
      </x:c>
      <x:c r="B9" s="161" t="str">
        <x:v>Smart Search using semantic search</x:v>
      </x:c>
      <x:c r="C9" s="162" t="n">
        <x:f>D9*Assumptions!$B$9</x:f>
        <x:v>990000</x:v>
      </x:c>
      <x:c r="D9" s="163" t="n">
        <x:v>0.09</x:v>
      </x:c>
      <x:c r="E9" s="164" t="n">
        <x:f>C9/Assumptions!$B$8*Assumptions!$B$7</x:f>
        <x:v>7920.000000000001</x:v>
      </x:c>
      <x:c r="F9" s="165" t="n">
        <x:f>E9/Assumptions!$B$7</x:f>
        <x:v>4.4</x:v>
      </x:c>
      <x:c r="G9" s="165" t="n">
        <x:f>SUM($F$5:F9)</x:f>
        <x:v>41.06666666666666</x:v>
      </x:c>
      <x:c r="H9" s="166" t="n">
        <x:v>0.01</x:v>
      </x:c>
      <x:c r="I9" s="164" t="n">
        <x:f>H9*Assumptions!$B$6</x:f>
        <x:v>336350</x:v>
      </x:c>
      <x:c r="J9" s="167" t="n">
        <x:f>IF(I9=0,0,E9*3600/I9)</x:f>
        <x:v>84.76884198008028</x:v>
      </x:c>
      <x:c r="K9" s="161" t="str">
        <x:v>Allow analysts to find relevant prior emails, cases, entities and themes through semantic search instead of keyword/manual mailbox search.</x:v>
      </x:c>
      <x:c r="L9" s="161" t="str">
        <x:v>Search usage, click-through, time-to-find evidence, reduction in repeated requests.</x:v>
      </x:c>
    </x:row>
    <x:row r="10">
      <x:c r="A10" s="160" t="n">
        <x:v>6</x:v>
      </x:c>
      <x:c r="B10" s="161" t="str">
        <x:v>Margin Calls notification automation</x:v>
      </x:c>
      <x:c r="C10" s="162" t="n">
        <x:f>D10*Assumptions!$B$9</x:f>
        <x:v>880000</x:v>
      </x:c>
      <x:c r="D10" s="163" t="n">
        <x:v>0.08</x:v>
      </x:c>
      <x:c r="E10" s="164" t="n">
        <x:f>C10/Assumptions!$B$8*Assumptions!$B$7</x:f>
        <x:v>7040</x:v>
      </x:c>
      <x:c r="F10" s="165" t="n">
        <x:f>E10/Assumptions!$B$7</x:f>
        <x:v>3.911111111111111</x:v>
      </x:c>
      <x:c r="G10" s="165" t="n">
        <x:f>SUM($F$5:F10)</x:f>
        <x:v>44.977777777777774</x:v>
      </x:c>
      <x:c r="H10" s="166" t="n">
        <x:v>0.0012</x:v>
      </x:c>
      <x:c r="I10" s="164" t="n">
        <x:f>H10*Assumptions!$B$6</x:f>
        <x:v>40362</x:v>
      </x:c>
      <x:c r="J10" s="167" t="n">
        <x:f>IF(I10=0,0,E10*3600/I10)</x:f>
        <x:v>627.9173480005946</x:v>
      </x:c>
      <x:c r="K10" s="161" t="str">
        <x:v>Classify margin-related messages, detect notification context and trigger the correct operational workflow/draft response.</x:v>
      </x:c>
      <x:c r="L10" s="161" t="str">
        <x:v>Margin email volume, notification accuracy, manual drafting time avoided, exception rate.</x:v>
      </x:c>
    </x:row>
    <x:row r="11">
      <x:c r="A11" s="160" t="n">
        <x:v>7</x:v>
      </x:c>
      <x:c r="B11" s="161" t="str">
        <x:v>Topic Modeling + QMA Insights</x:v>
      </x:c>
      <x:c r="C11" s="162" t="n">
        <x:f>D11*Assumptions!$B$9</x:f>
        <x:v>880000</x:v>
      </x:c>
      <x:c r="D11" s="163" t="n">
        <x:v>0.08</x:v>
      </x:c>
      <x:c r="E11" s="164" t="n">
        <x:f>C11/Assumptions!$B$8*Assumptions!$B$7</x:f>
        <x:v>7040</x:v>
      </x:c>
      <x:c r="F11" s="165" t="n">
        <x:f>E11/Assumptions!$B$7</x:f>
        <x:v>3.911111111111111</x:v>
      </x:c>
      <x:c r="G11" s="165" t="n">
        <x:f>SUM($F$5:F11)</x:f>
        <x:v>48.888888888888886</x:v>
      </x:c>
      <x:c r="H11" s="166" t="n">
        <x:v>0.005</x:v>
      </x:c>
      <x:c r="I11" s="164" t="n">
        <x:f>H11*Assumptions!$B$6</x:f>
        <x:v>168175</x:v>
      </x:c>
      <x:c r="J11" s="167" t="n">
        <x:f>IF(I11=0,0,E11*3600/I11)</x:f>
        <x:v>150.7001635201427</x:v>
      </x:c>
      <x:c r="K11" s="161" t="str">
        <x:v>Cluster email themes in an unsupervised manner to identify where operations spends time and prioritize process redesign and automation.</x:v>
      </x:c>
      <x:c r="L11" s="161" t="str">
        <x:v>Cluster quality, top themes by volume/AHT, actions from insights, realized process-change benefit.</x:v>
      </x:c>
    </x:row>
    <x:row r="12">
      <x:c r="A12" s="168" t="str"/>
      <x:c r="B12" s="169" t="str">
        <x:v>Total / Reconciled to Target</x:v>
      </x:c>
      <x:c r="C12" s="170" t="n">
        <x:f>SUM(C5:C11)</x:f>
        <x:v>11000000</x:v>
      </x:c>
      <x:c r="D12" s="171" t="n">
        <x:f>SUM(D5:D11)</x:f>
        <x:v>0.9999999999999999</x:v>
      </x:c>
      <x:c r="E12" s="172" t="n">
        <x:f>SUM(E5:E11)</x:f>
        <x:v>88000</x:v>
      </x:c>
      <x:c r="F12" s="173" t="n">
        <x:f>SUM(F5:F11)</x:f>
        <x:v>48.888888888888886</x:v>
      </x:c>
      <x:c r="G12" s="173" t="n">
        <x:f>F12</x:f>
        <x:v>48.888888888888886</x:v>
      </x:c>
      <x:c r="H12" s="174" t="str"/>
      <x:c r="I12" s="172" t="n">
        <x:f>SUM(I5:I11)</x:f>
        <x:v>2344359.5</x:v>
      </x:c>
      <x:c r="J12" s="175" t="n">
        <x:f>IF(I12=0,0,E12*3600/I12)</x:f>
        <x:v>135.1328582497693</x:v>
      </x:c>
      <x:c r="K12" s="169" t="str">
        <x:v>Total reconciles to the $3.4M annual benefit target.</x:v>
      </x:c>
      <x:c r="L12" s="169" t="str"/>
    </x:row>
    <x:row r="13">
      <x:c r="A13" s="130"/>
      <x:c r="B13" s="130"/>
      <x:c r="C13" s="130"/>
      <x:c r="D13" s="130"/>
      <x:c r="E13" s="130"/>
      <x:c r="F13" s="130"/>
      <x:c r="G13" s="130"/>
      <x:c r="H13" s="130"/>
      <x:c r="I13" s="130"/>
      <x:c r="J13" s="130"/>
      <x:c r="K13" s="130"/>
      <x:c r="L13" s="130"/>
    </x:row>
    <x:row r="14">
      <x:c r="A14" s="130"/>
      <x:c r="B14" s="130"/>
      <x:c r="C14" s="130"/>
      <x:c r="D14" s="130"/>
      <x:c r="E14" s="130"/>
      <x:c r="F14" s="130"/>
      <x:c r="G14" s="130"/>
      <x:c r="H14" s="130"/>
      <x:c r="I14" s="130"/>
      <x:c r="J14" s="130"/>
      <x:c r="K14" s="130"/>
      <x:c r="L14" s="130"/>
    </x:row>
    <x:row r="15">
      <x:c r="A15" s="130"/>
      <x:c r="B15" s="130"/>
      <x:c r="C15" s="130"/>
      <x:c r="D15" s="130"/>
      <x:c r="E15" s="130"/>
      <x:c r="F15" s="130"/>
      <x:c r="G15" s="130"/>
      <x:c r="H15" s="130"/>
      <x:c r="I15" s="130"/>
      <x:c r="J15" s="130"/>
      <x:c r="K15" s="130"/>
      <x:c r="L15" s="130"/>
    </x:row>
    <x:row r="16">
      <x:c r="A16" s="130"/>
      <x:c r="B16" s="130"/>
      <x:c r="C16" s="130"/>
      <x:c r="D16" s="130"/>
      <x:c r="E16" s="130"/>
      <x:c r="F16" s="130"/>
      <x:c r="G16" s="130"/>
      <x:c r="H16" s="130"/>
      <x:c r="I16" s="130"/>
      <x:c r="J16" s="130"/>
      <x:c r="K16" s="130"/>
      <x:c r="L16" s="130"/>
    </x:row>
    <x:row r="17">
      <x:c r="A17" s="130"/>
      <x:c r="B17" s="130"/>
      <x:c r="C17" s="130"/>
      <x:c r="D17" s="130"/>
      <x:c r="E17" s="130"/>
      <x:c r="F17" s="130"/>
      <x:c r="G17" s="130"/>
      <x:c r="H17" s="130"/>
      <x:c r="I17" s="130"/>
      <x:c r="J17" s="130"/>
      <x:c r="K17" s="130"/>
      <x:c r="L17" s="130"/>
    </x:row>
    <x:row r="18">
      <x:c r="A18" s="130"/>
      <x:c r="B18" s="130"/>
      <x:c r="C18" s="130"/>
      <x:c r="D18" s="130"/>
      <x:c r="E18" s="130"/>
      <x:c r="F18" s="130"/>
      <x:c r="G18" s="130"/>
      <x:c r="H18" s="130"/>
      <x:c r="I18" s="130"/>
      <x:c r="J18" s="130"/>
      <x:c r="K18" s="130"/>
      <x:c r="L18" s="130"/>
    </x:row>
    <x:row r="19">
      <x:c r="A19" s="130"/>
      <x:c r="B19" s="130"/>
      <x:c r="C19" s="130"/>
      <x:c r="D19" s="130"/>
      <x:c r="E19" s="130"/>
      <x:c r="F19" s="130"/>
      <x:c r="G19" s="130"/>
      <x:c r="H19" s="130"/>
      <x:c r="I19" s="130"/>
      <x:c r="J19" s="130"/>
      <x:c r="K19" s="130"/>
      <x:c r="L19" s="130"/>
    </x:row>
    <x:row r="20">
      <x:c r="A20" s="130"/>
      <x:c r="B20" s="130"/>
      <x:c r="C20" s="130"/>
      <x:c r="D20" s="130"/>
      <x:c r="E20" s="130"/>
      <x:c r="F20" s="130"/>
      <x:c r="G20" s="130"/>
      <x:c r="H20" s="130"/>
      <x:c r="I20" s="130"/>
      <x:c r="J20" s="130"/>
      <x:c r="K20" s="130"/>
      <x:c r="L20" s="130"/>
    </x:row>
    <x:row r="21">
      <x:c r="A21" s="130"/>
      <x:c r="B21" s="130"/>
      <x:c r="C21" s="130"/>
      <x:c r="D21" s="130"/>
      <x:c r="E21" s="130"/>
      <x:c r="F21" s="130"/>
      <x:c r="G21" s="130"/>
      <x:c r="H21" s="130"/>
      <x:c r="I21" s="130"/>
      <x:c r="J21" s="130"/>
      <x:c r="K21" s="130"/>
      <x:c r="L21" s="130"/>
    </x:row>
    <x:row r="22">
      <x:c r="A22" s="130"/>
      <x:c r="B22" s="130"/>
      <x:c r="C22" s="130"/>
      <x:c r="D22" s="130"/>
      <x:c r="E22" s="130"/>
      <x:c r="F22" s="130"/>
      <x:c r="G22" s="130"/>
      <x:c r="H22" s="130"/>
      <x:c r="I22" s="130"/>
      <x:c r="J22" s="130"/>
      <x:c r="K22" s="130"/>
      <x:c r="L22" s="130"/>
    </x:row>
    <x:row r="23">
      <x:c r="A23" s="130"/>
      <x:c r="B23" s="130"/>
      <x:c r="C23" s="130"/>
      <x:c r="D23" s="130"/>
      <x:c r="E23" s="130"/>
      <x:c r="F23" s="130"/>
      <x:c r="G23" s="130"/>
      <x:c r="H23" s="130"/>
      <x:c r="I23" s="130"/>
      <x:c r="J23" s="130"/>
      <x:c r="K23" s="130"/>
      <x:c r="L23" s="130"/>
    </x:row>
    <x:row r="24">
      <x:c r="A24" s="130"/>
      <x:c r="B24" s="130"/>
      <x:c r="C24" s="130"/>
      <x:c r="D24" s="130"/>
      <x:c r="E24" s="130"/>
      <x:c r="F24" s="130"/>
      <x:c r="G24" s="130"/>
      <x:c r="H24" s="130"/>
      <x:c r="I24" s="130"/>
      <x:c r="J24" s="130"/>
      <x:c r="K24" s="130"/>
      <x:c r="L24" s="130"/>
    </x:row>
    <x:row r="25">
      <x:c r="A25" s="130"/>
      <x:c r="B25" s="130"/>
      <x:c r="C25" s="130"/>
      <x:c r="D25" s="130"/>
      <x:c r="E25" s="130"/>
      <x:c r="F25" s="130"/>
      <x:c r="G25" s="130"/>
      <x:c r="H25" s="130"/>
      <x:c r="I25" s="130"/>
      <x:c r="J25" s="130"/>
      <x:c r="K25" s="130"/>
      <x:c r="L25" s="130"/>
    </x:row>
    <x:row r="26">
      <x:c r="A26" s="130"/>
      <x:c r="B26" s="130"/>
      <x:c r="C26" s="130"/>
      <x:c r="D26" s="130"/>
      <x:c r="E26" s="130"/>
      <x:c r="F26" s="130"/>
      <x:c r="G26" s="130"/>
      <x:c r="H26" s="130"/>
      <x:c r="I26" s="130"/>
      <x:c r="J26" s="130"/>
      <x:c r="K26" s="130"/>
      <x:c r="L26" s="130"/>
    </x:row>
    <x:row r="27">
      <x:c r="A27" s="130"/>
      <x:c r="B27" s="130"/>
      <x:c r="C27" s="130"/>
      <x:c r="D27" s="130"/>
      <x:c r="E27" s="130"/>
      <x:c r="F27" s="130"/>
      <x:c r="G27" s="130"/>
      <x:c r="H27" s="130"/>
      <x:c r="I27" s="130"/>
      <x:c r="J27" s="130"/>
      <x:c r="K27" s="130"/>
      <x:c r="L27" s="130"/>
    </x:row>
    <x:row r="28">
      <x:c r="A28" s="130"/>
      <x:c r="B28" s="130"/>
      <x:c r="C28" s="130"/>
      <x:c r="D28" s="130"/>
      <x:c r="E28" s="130"/>
      <x:c r="F28" s="130"/>
      <x:c r="G28" s="130"/>
      <x:c r="H28" s="130"/>
      <x:c r="I28" s="130"/>
      <x:c r="J28" s="130"/>
      <x:c r="K28" s="130"/>
      <x:c r="L28" s="130"/>
    </x:row>
    <x:row r="29">
      <x:c r="A29" s="130"/>
      <x:c r="B29" s="130"/>
      <x:c r="C29" s="130"/>
      <x:c r="D29" s="130"/>
      <x:c r="E29" s="130"/>
      <x:c r="F29" s="130"/>
      <x:c r="G29" s="130"/>
      <x:c r="H29" s="130"/>
      <x:c r="I29" s="130"/>
      <x:c r="J29" s="130"/>
      <x:c r="K29" s="130"/>
      <x:c r="L29" s="130"/>
    </x:row>
    <x:row r="30">
      <x:c r="A30" s="130"/>
      <x:c r="B30" s="130"/>
      <x:c r="C30" s="130"/>
      <x:c r="D30" s="130"/>
      <x:c r="E30" s="130"/>
      <x:c r="F30" s="130"/>
      <x:c r="G30" s="130"/>
      <x:c r="H30" s="130"/>
      <x:c r="I30" s="130"/>
      <x:c r="J30" s="130"/>
      <x:c r="K30" s="130"/>
      <x:c r="L30" s="130"/>
    </x:row>
    <x:row r="31">
      <x:c r="A31" s="130"/>
      <x:c r="B31" s="130"/>
      <x:c r="C31" s="130"/>
      <x:c r="D31" s="130"/>
      <x:c r="E31" s="130"/>
      <x:c r="F31" s="130"/>
      <x:c r="G31" s="130"/>
      <x:c r="H31" s="130"/>
      <x:c r="I31" s="130"/>
      <x:c r="J31" s="130"/>
      <x:c r="K31" s="130"/>
      <x:c r="L31" s="130"/>
    </x:row>
    <x:row r="32">
      <x:c r="A32" s="130"/>
      <x:c r="B32" s="130"/>
      <x:c r="C32" s="130"/>
      <x:c r="D32" s="130"/>
      <x:c r="E32" s="130"/>
      <x:c r="F32" s="130"/>
      <x:c r="G32" s="130"/>
      <x:c r="H32" s="130"/>
      <x:c r="I32" s="130"/>
      <x:c r="J32" s="130"/>
      <x:c r="K32" s="130"/>
      <x:c r="L32" s="130"/>
    </x:row>
    <x:row r="33">
      <x:c r="A33" s="130"/>
      <x:c r="B33" s="130"/>
      <x:c r="C33" s="130"/>
      <x:c r="D33" s="130"/>
      <x:c r="E33" s="130"/>
      <x:c r="F33" s="130"/>
      <x:c r="G33" s="130"/>
      <x:c r="H33" s="130"/>
      <x:c r="I33" s="130"/>
      <x:c r="J33" s="130"/>
      <x:c r="K33" s="130"/>
      <x:c r="L33" s="130"/>
    </x:row>
    <x:row r="34">
      <x:c r="A34" s="130"/>
      <x:c r="B34" s="130"/>
      <x:c r="C34" s="130"/>
      <x:c r="D34" s="130"/>
      <x:c r="E34" s="130"/>
      <x:c r="F34" s="130"/>
      <x:c r="G34" s="130"/>
      <x:c r="H34" s="130"/>
      <x:c r="I34" s="130"/>
      <x:c r="J34" s="130"/>
      <x:c r="K34" s="130"/>
      <x:c r="L34" s="130"/>
    </x:row>
    <x:row r="35">
      <x:c r="A35" s="130"/>
      <x:c r="B35" s="130"/>
      <x:c r="C35" s="130"/>
      <x:c r="D35" s="130"/>
      <x:c r="E35" s="130"/>
      <x:c r="F35" s="130"/>
      <x:c r="G35" s="130"/>
      <x:c r="H35" s="130"/>
      <x:c r="I35" s="130"/>
      <x:c r="J35" s="130"/>
      <x:c r="K35" s="130"/>
      <x:c r="L35" s="130"/>
    </x:row>
    <x:row r="36">
      <x:c r="A36" s="130"/>
      <x:c r="B36" s="130"/>
      <x:c r="C36" s="130"/>
      <x:c r="D36" s="130"/>
      <x:c r="E36" s="130"/>
      <x:c r="F36" s="130"/>
      <x:c r="G36" s="130"/>
      <x:c r="H36" s="130"/>
      <x:c r="I36" s="130"/>
      <x:c r="J36" s="130"/>
      <x:c r="K36" s="130"/>
      <x:c r="L36" s="130"/>
    </x:row>
    <x:row r="37">
      <x:c r="A37" s="130"/>
      <x:c r="B37" s="130"/>
      <x:c r="C37" s="130"/>
      <x:c r="D37" s="130"/>
      <x:c r="E37" s="130"/>
      <x:c r="F37" s="130"/>
      <x:c r="G37" s="130"/>
      <x:c r="H37" s="130"/>
      <x:c r="I37" s="130"/>
      <x:c r="J37" s="130"/>
      <x:c r="K37" s="130"/>
      <x:c r="L37" s="130"/>
    </x:row>
    <x:row r="38">
      <x:c r="A38" s="130"/>
      <x:c r="B38" s="130"/>
      <x:c r="C38" s="130"/>
      <x:c r="D38" s="130"/>
      <x:c r="E38" s="130"/>
      <x:c r="F38" s="130"/>
      <x:c r="G38" s="130"/>
      <x:c r="H38" s="130"/>
      <x:c r="I38" s="130"/>
      <x:c r="J38" s="130"/>
      <x:c r="K38" s="130"/>
      <x:c r="L38" s="130"/>
    </x:row>
    <x:row r="39">
      <x:c r="A39" s="130"/>
      <x:c r="B39" s="130"/>
      <x:c r="C39" s="130"/>
      <x:c r="D39" s="130"/>
      <x:c r="E39" s="130"/>
      <x:c r="F39" s="130"/>
      <x:c r="G39" s="130"/>
      <x:c r="H39" s="130"/>
      <x:c r="I39" s="130"/>
      <x:c r="J39" s="130"/>
      <x:c r="K39" s="130"/>
      <x:c r="L39" s="130"/>
    </x:row>
    <x:row r="40">
      <x:c r="A40" s="130"/>
      <x:c r="B40" s="130"/>
      <x:c r="C40" s="130"/>
      <x:c r="D40" s="130"/>
      <x:c r="E40" s="130"/>
      <x:c r="F40" s="130"/>
      <x:c r="G40" s="130"/>
      <x:c r="H40" s="130"/>
      <x:c r="I40" s="130"/>
      <x:c r="J40" s="130"/>
      <x:c r="K40" s="130"/>
      <x:c r="L40" s="130"/>
    </x:row>
  </x:sheetData>
  <x:mergeCells>
    <x:mergeCell ref="A1:L1"/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20" hidden="0" customWidth="1"/>
    <x:col min="4" max="4" width="55" hidden="0" customWidth="1"/>
  </x:cols>
  <x:sheetData>
    <x:row r="1" ht="26" customHeight="1">
      <x:c r="A1" s="6" t="str">
        <x:v>QMA GenAI Benefit Back-of-Envelope Assumptions</x:v>
      </x:c>
      <x:c r="B1" s="6"/>
      <x:c r="C1" s="6"/>
      <x:c r="D1" s="6"/>
      <x:c r="E1" s="130"/>
      <x:c r="F1" s="130"/>
      <x:c r="G1" s="130"/>
      <x:c r="H1" s="130"/>
      <x:c r="I1" s="130"/>
      <x:c r="J1" s="130"/>
      <x:c r="K1" s="130"/>
      <x:c r="L1" s="130"/>
    </x:row>
    <x:row r="2">
      <x:c r="A2" s="130"/>
      <x:c r="B2" s="130"/>
      <x:c r="C2" s="130"/>
      <x:c r="D2" s="130"/>
      <x:c r="E2" s="130"/>
      <x:c r="F2" s="130"/>
      <x:c r="G2" s="130"/>
      <x:c r="H2" s="130"/>
      <x:c r="I2" s="130"/>
      <x:c r="J2" s="130"/>
      <x:c r="K2" s="130"/>
      <x:c r="L2" s="130"/>
    </x:row>
    <x:row r="3">
      <x:c r="A3" s="16" t="str">
        <x:v>Input / Assumption</x:v>
      </x:c>
      <x:c r="B3" s="16" t="str">
        <x:v>Value</x:v>
      </x:c>
      <x:c r="C3" s="16" t="str">
        <x:v>Unit</x:v>
      </x:c>
      <x:c r="D3" s="16" t="str">
        <x:v>Purpose / Note</x:v>
      </x:c>
      <x:c r="E3" s="130"/>
      <x:c r="F3" s="130"/>
      <x:c r="G3" s="130"/>
      <x:c r="H3" s="130"/>
      <x:c r="I3" s="130"/>
      <x:c r="J3" s="130"/>
      <x:c r="K3" s="130"/>
      <x:c r="L3" s="130"/>
    </x:row>
    <x:row r="4">
      <x:c r="A4" s="192" t="str">
        <x:v>Base unique QMA/email volume</x:v>
      </x:c>
      <x:c r="B4" s="164" t="n">
        <x:v>31000000</x:v>
      </x:c>
      <x:c r="C4" s="161" t="str">
        <x:v>emails/events in 2025</x:v>
      </x:c>
      <x:c r="D4" s="161" t="str">
        <x:v>User-provided baseline. Treat as unique email/events, not every message touch.</x:v>
      </x:c>
      <x:c r="E4" s="130"/>
      <x:c r="F4" s="130"/>
      <x:c r="G4" s="130"/>
      <x:c r="H4" s="130"/>
      <x:c r="I4" s="130"/>
      <x:c r="J4" s="130"/>
      <x:c r="K4" s="130"/>
      <x:c r="L4" s="130"/>
    </x:row>
    <x:row r="5">
      <x:c r="A5" s="192" t="str">
        <x:v>Annual volume growth</x:v>
      </x:c>
      <x:c r="B5" s="193" t="n">
        <x:v>0.085</x:v>
      </x:c>
      <x:c r="C5" s="161" t="str">
        <x:v>% YoY</x:v>
      </x:c>
      <x:c r="D5" s="161" t="str">
        <x:v>User-provided growth expectation. Used for 2026+ projection.</x:v>
      </x:c>
      <x:c r="E5" s="130"/>
      <x:c r="F5" s="130"/>
      <x:c r="G5" s="130"/>
      <x:c r="H5" s="130"/>
      <x:c r="I5" s="130"/>
      <x:c r="J5" s="130"/>
      <x:c r="K5" s="130"/>
      <x:c r="L5" s="130"/>
    </x:row>
    <x:row r="6">
      <x:c r="A6" s="192" t="str">
        <x:v>Projected unique QMA/email volume</x:v>
      </x:c>
      <x:c r="B6" s="164" t="n">
        <x:f>B4*(1+B5)</x:f>
        <x:v>33635000</x:v>
      </x:c>
      <x:c r="C6" s="161" t="str">
        <x:v>emails/events in 2026</x:v>
      </x:c>
      <x:c r="D6" s="161" t="str">
        <x:v>Formula: 2025 volume × (1 + growth).</x:v>
      </x:c>
      <x:c r="E6" s="130"/>
      <x:c r="F6" s="130"/>
      <x:c r="G6" s="130"/>
      <x:c r="H6" s="130"/>
      <x:c r="I6" s="130"/>
      <x:c r="J6" s="130"/>
      <x:c r="K6" s="130"/>
      <x:c r="L6" s="130"/>
    </x:row>
    <x:row r="7">
      <x:c r="A7" s="192" t="str">
        <x:v>Effective productive hours per FTE</x:v>
      </x:c>
      <x:c r="B7" s="164" t="n">
        <x:v>1800</x:v>
      </x:c>
      <x:c r="C7" s="161" t="str">
        <x:v>hours/year</x:v>
      </x:c>
      <x:c r="D7" s="161" t="str">
        <x:v>BOE assumption; adjust to your finance standard if different.</x:v>
      </x:c>
      <x:c r="E7" s="130"/>
      <x:c r="F7" s="130"/>
      <x:c r="G7" s="130"/>
      <x:c r="H7" s="130"/>
      <x:c r="I7" s="130"/>
      <x:c r="J7" s="130"/>
      <x:c r="K7" s="130"/>
      <x:c r="L7" s="130"/>
    </x:row>
    <x:row r="8">
      <x:c r="A8" s="192" t="str">
        <x:v>Fully loaded Ops cost per FTE</x:v>
      </x:c>
      <x:c r="B8" s="162" t="n">
        <x:v>225000</x:v>
      </x:c>
      <x:c r="C8" s="161" t="str">
        <x:v>$/FTE/year</x:v>
      </x:c>
      <x:c r="D8" s="161" t="str">
        <x:v>BOE assumption; includes salary, benefits, occupancy, management overhead.</x:v>
      </x:c>
      <x:c r="E8" s="130"/>
      <x:c r="F8" s="130"/>
      <x:c r="G8" s="130"/>
      <x:c r="H8" s="130"/>
      <x:c r="I8" s="130"/>
      <x:c r="J8" s="130"/>
      <x:c r="K8" s="130"/>
      <x:c r="L8" s="130"/>
    </x:row>
    <x:row r="9">
      <x:c r="A9" s="192" t="str">
        <x:v>Target annual benefit</x:v>
      </x:c>
      <x:c r="B9" s="162" t="n">
        <x:v>11000000</x:v>
      </x:c>
      <x:c r="C9" s="161" t="str">
        <x:v>$ in 2026</x:v>
      </x:c>
      <x:c r="D9" s="161" t="str">
        <x:v>Target to reconcile benefit case.</x:v>
      </x:c>
      <x:c r="E9" s="130"/>
      <x:c r="F9" s="130"/>
      <x:c r="G9" s="130"/>
      <x:c r="H9" s="130"/>
      <x:c r="I9" s="130"/>
      <x:c r="J9" s="130"/>
      <x:c r="K9" s="130"/>
      <x:c r="L9" s="130"/>
    </x:row>
    <x:row r="10">
      <x:c r="A10" s="192" t="str">
        <x:v>Target FTE equivalent</x:v>
      </x:c>
      <x:c r="B10" s="165" t="n">
        <x:f>B9/B8</x:f>
        <x:v>48.888888888888886</x:v>
      </x:c>
      <x:c r="C10" s="161" t="str">
        <x:v>FTEs</x:v>
      </x:c>
      <x:c r="D10" s="161" t="str">
        <x:v>Formula: target annual benefit ÷ loaded Ops cost/FTE.</x:v>
      </x:c>
      <x:c r="E10" s="130"/>
      <x:c r="F10" s="130"/>
      <x:c r="G10" s="130"/>
      <x:c r="H10" s="130"/>
      <x:c r="I10" s="130"/>
      <x:c r="J10" s="130"/>
      <x:c r="K10" s="130"/>
      <x:c r="L10" s="130"/>
    </x:row>
    <x:row r="11">
      <x:c r="A11" s="192" t="str">
        <x:v>Target hours saved</x:v>
      </x:c>
      <x:c r="B11" s="164" t="n">
        <x:f>B10*B7</x:f>
        <x:v>88000</x:v>
      </x:c>
      <x:c r="C11" s="161" t="str">
        <x:v>hours/year</x:v>
      </x:c>
      <x:c r="D11" s="161" t="str">
        <x:v>Formula: FTE equivalent × hours/FTE.</x:v>
      </x:c>
      <x:c r="E11" s="130"/>
      <x:c r="F11" s="130"/>
      <x:c r="G11" s="130"/>
      <x:c r="H11" s="130"/>
      <x:c r="I11" s="130"/>
      <x:c r="J11" s="130"/>
      <x:c r="K11" s="130"/>
      <x:c r="L11" s="130"/>
    </x:row>
    <x:row r="12">
      <x:c r="A12" s="192" t="str">
        <x:v>Average seconds saved needed across all 2026 emails</x:v>
      </x:c>
      <x:c r="B12" s="165" t="n">
        <x:f>B11*3600/B6</x:f>
        <x:v>9.418760220008918</x:v>
      </x:c>
      <x:c r="C12" s="161" t="str">
        <x:v>seconds/email</x:v>
      </x:c>
      <x:c r="D12" s="161" t="str">
        <x:v>Small average efficiency across large volume can generate material benefit.</x:v>
      </x:c>
      <x:c r="E12" s="130"/>
      <x:c r="F12" s="130"/>
      <x:c r="G12" s="130"/>
      <x:c r="H12" s="130"/>
      <x:c r="I12" s="130"/>
      <x:c r="J12" s="130"/>
      <x:c r="K12" s="130"/>
      <x:c r="L12" s="130"/>
    </x:row>
    <x:row r="13">
      <x:c r="A13" s="192" t="str">
        <x:v>Stated 3-year target</x:v>
      </x:c>
      <x:c r="B13" s="162" t="n">
        <x:v>11000000</x:v>
      </x:c>
      <x:c r="C13" s="161" t="str">
        <x:v>$ over 3 years</x:v>
      </x:c>
      <x:c r="D13" s="161" t="str">
        <x:v>User-provided headline target.</x:v>
      </x:c>
      <x:c r="E13" s="130"/>
      <x:c r="F13" s="130"/>
      <x:c r="G13" s="130"/>
      <x:c r="H13" s="130"/>
      <x:c r="I13" s="130"/>
      <x:c r="J13" s="130"/>
      <x:c r="K13" s="130"/>
      <x:c r="L13" s="130"/>
    </x:row>
    <x:row r="14">
      <x:c r="A14" s="192" t="str">
        <x:v>Flat 3-year value at 2026 target</x:v>
      </x:c>
      <x:c r="B14" s="162" t="n">
        <x:f>B9*3</x:f>
        <x:v>33000000</x:v>
      </x:c>
      <x:c r="C14" s="161" t="str">
        <x:v>$ over 3 years</x:v>
      </x:c>
      <x:c r="D14" s="161" t="str">
        <x:v>$3.4M × 3 = $10.2M; useful conservative view.</x:v>
      </x:c>
      <x:c r="E14" s="130"/>
      <x:c r="F14" s="130"/>
      <x:c r="G14" s="130"/>
      <x:c r="H14" s="130"/>
      <x:c r="I14" s="130"/>
      <x:c r="J14" s="130"/>
      <x:c r="K14" s="130"/>
      <x:c r="L14" s="130"/>
    </x:row>
    <x:row r="15">
      <x:c r="A15" s="192" t="str">
        <x:v>Growth-adjusted 3-year value</x:v>
      </x:c>
      <x:c r="B15" s="162" t="n">
        <x:f>B9*(1+(1+B5)+(1+B5)^2)</x:f>
        <x:v>35884475</x:v>
      </x:c>
      <x:c r="C15" s="161" t="str">
        <x:v>$ over 3 years</x:v>
      </x:c>
      <x:c r="D15" s="161" t="str">
        <x:v>Applies 8.5% YoY growth to annual benefit.</x:v>
      </x:c>
      <x:c r="E15" s="130"/>
      <x:c r="F15" s="130"/>
      <x:c r="G15" s="130"/>
      <x:c r="H15" s="130"/>
      <x:c r="I15" s="130"/>
      <x:c r="J15" s="130"/>
      <x:c r="K15" s="130"/>
      <x:c r="L15" s="130"/>
    </x:row>
    <x:row r="16">
      <x:c r="A16" s="192" t="str">
        <x:v>Variance to stated 3-year target</x:v>
      </x:c>
      <x:c r="B16" s="162" t="n">
        <x:f>B15-B13</x:f>
        <x:v>24884475</x:v>
      </x:c>
      <x:c r="C16" s="161" t="str">
        <x:v>$</x:v>
      </x:c>
      <x:c r="D16" s="161" t="str">
        <x:v>Positive means growth-adjusted case exceeds stated target.</x:v>
      </x:c>
      <x:c r="E16" s="130"/>
      <x:c r="F16" s="130"/>
      <x:c r="G16" s="130"/>
      <x:c r="H16" s="130"/>
      <x:c r="I16" s="130"/>
      <x:c r="J16" s="130"/>
      <x:c r="K16" s="130"/>
      <x:c r="L16" s="130"/>
    </x:row>
    <x:row r="17">
      <x:c r="A17" s="130"/>
      <x:c r="B17" s="130"/>
      <x:c r="C17" s="130"/>
      <x:c r="D17" s="130"/>
      <x:c r="E17" s="130"/>
      <x:c r="F17" s="130"/>
      <x:c r="G17" s="130"/>
      <x:c r="H17" s="130"/>
      <x:c r="I17" s="130"/>
      <x:c r="J17" s="130"/>
      <x:c r="K17" s="130"/>
      <x:c r="L17" s="130"/>
    </x:row>
    <x:row r="18" ht="32" customHeight="1">
      <x:c r="A18" s="194" t="str">
        <x:v>Source notes: user-provided 2025 volume = 31M unique emails/events; growth = 8.5% YoY; benefit target = $3.4M/year and ~$11M over 3 years. FTE hours and loaded cost are adjustable BOE assumptions.</x:v>
      </x:c>
      <x:c r="B18" s="194"/>
      <x:c r="C18" s="194"/>
      <x:c r="D18" s="194"/>
      <x:c r="E18" s="130"/>
      <x:c r="F18" s="130"/>
      <x:c r="G18" s="130"/>
      <x:c r="H18" s="130"/>
      <x:c r="I18" s="130"/>
      <x:c r="J18" s="130"/>
      <x:c r="K18" s="130"/>
      <x:c r="L18" s="130"/>
    </x:row>
    <x:row r="19">
      <x:c r="A19" s="130"/>
      <x:c r="B19" s="130"/>
      <x:c r="C19" s="130"/>
      <x:c r="D19" s="130"/>
      <x:c r="E19" s="130"/>
      <x:c r="F19" s="130"/>
      <x:c r="G19" s="130"/>
      <x:c r="H19" s="130"/>
      <x:c r="I19" s="130"/>
      <x:c r="J19" s="130"/>
      <x:c r="K19" s="130"/>
      <x:c r="L19" s="130"/>
    </x:row>
    <x:row r="20">
      <x:c r="A20" s="130" t="str">
        <x:v>Project Budget</x:v>
      </x:c>
      <x:c r="B20" s="130" t="n">
        <x:v>600000</x:v>
      </x:c>
      <x:c r="C20" s="130" t="str">
        <x:v>$</x:v>
      </x:c>
      <x:c r="D20" s="130" t="str">
        <x:v>Investment budget</x:v>
      </x:c>
      <x:c r="E20" s="130"/>
      <x:c r="F20" s="130"/>
      <x:c r="G20" s="130"/>
      <x:c r="H20" s="130"/>
      <x:c r="I20" s="130"/>
      <x:c r="J20" s="130"/>
      <x:c r="K20" s="130"/>
      <x:c r="L20" s="130"/>
    </x:row>
    <x:row r="21">
      <x:c r="A21" s="130" t="str">
        <x:v>Benefit / Investment Ratio</x:v>
      </x:c>
      <x:c r="B21" s="130" t="n">
        <x:f>B9/B20</x:f>
        <x:v>18.333333333333332</x:v>
      </x:c>
      <x:c r="C21" s="130" t="str"/>
      <x:c r="D21" s="130" t="str">
        <x:v>Formula annual benefit / budget</x:v>
      </x:c>
      <x:c r="E21" s="130"/>
      <x:c r="F21" s="130"/>
      <x:c r="G21" s="130"/>
      <x:c r="H21" s="130"/>
      <x:c r="I21" s="130"/>
      <x:c r="J21" s="130"/>
      <x:c r="K21" s="130"/>
      <x:c r="L21" s="130"/>
    </x:row>
    <x:row r="22">
      <x:c r="A22" s="130"/>
      <x:c r="B22" s="130"/>
      <x:c r="C22" s="130"/>
      <x:c r="D22" s="130"/>
      <x:c r="E22" s="130"/>
      <x:c r="F22" s="130"/>
      <x:c r="G22" s="130"/>
      <x:c r="H22" s="130"/>
      <x:c r="I22" s="130"/>
      <x:c r="J22" s="130"/>
      <x:c r="K22" s="130"/>
      <x:c r="L22" s="130"/>
    </x:row>
    <x:row r="23">
      <x:c r="A23" s="130"/>
      <x:c r="B23" s="130"/>
      <x:c r="C23" s="130"/>
      <x:c r="D23" s="130"/>
      <x:c r="E23" s="130"/>
      <x:c r="F23" s="130"/>
      <x:c r="G23" s="130"/>
      <x:c r="H23" s="130"/>
      <x:c r="I23" s="130"/>
      <x:c r="J23" s="130"/>
      <x:c r="K23" s="130"/>
      <x:c r="L23" s="130"/>
    </x:row>
    <x:row r="24">
      <x:c r="A24" s="130"/>
      <x:c r="B24" s="130"/>
      <x:c r="C24" s="130"/>
      <x:c r="D24" s="130"/>
      <x:c r="E24" s="130"/>
      <x:c r="F24" s="130"/>
      <x:c r="G24" s="130"/>
      <x:c r="H24" s="130"/>
      <x:c r="I24" s="130"/>
      <x:c r="J24" s="130"/>
      <x:c r="K24" s="130"/>
      <x:c r="L24" s="130"/>
    </x:row>
    <x:row r="25">
      <x:c r="A25" s="130"/>
      <x:c r="B25" s="130"/>
      <x:c r="C25" s="130"/>
      <x:c r="D25" s="130"/>
      <x:c r="E25" s="130"/>
      <x:c r="F25" s="130"/>
      <x:c r="G25" s="130"/>
      <x:c r="H25" s="130"/>
      <x:c r="I25" s="130"/>
      <x:c r="J25" s="130"/>
      <x:c r="K25" s="130"/>
      <x:c r="L25" s="130"/>
    </x:row>
    <x:row r="26">
      <x:c r="A26" s="130"/>
      <x:c r="B26" s="130"/>
      <x:c r="C26" s="130"/>
      <x:c r="D26" s="130"/>
      <x:c r="E26" s="130"/>
      <x:c r="F26" s="130"/>
      <x:c r="G26" s="130"/>
      <x:c r="H26" s="130"/>
      <x:c r="I26" s="130"/>
      <x:c r="J26" s="130"/>
      <x:c r="K26" s="130"/>
      <x:c r="L26" s="130"/>
    </x:row>
    <x:row r="27">
      <x:c r="A27" s="130"/>
      <x:c r="B27" s="130"/>
      <x:c r="C27" s="130"/>
      <x:c r="D27" s="130"/>
      <x:c r="E27" s="130"/>
      <x:c r="F27" s="130"/>
      <x:c r="G27" s="130"/>
      <x:c r="H27" s="130"/>
      <x:c r="I27" s="130"/>
      <x:c r="J27" s="130"/>
      <x:c r="K27" s="130"/>
      <x:c r="L27" s="130"/>
    </x:row>
    <x:row r="28">
      <x:c r="A28" s="130"/>
      <x:c r="B28" s="130"/>
      <x:c r="C28" s="130"/>
      <x:c r="D28" s="130"/>
      <x:c r="E28" s="130"/>
      <x:c r="F28" s="130"/>
      <x:c r="G28" s="130"/>
      <x:c r="H28" s="130"/>
      <x:c r="I28" s="130"/>
      <x:c r="J28" s="130"/>
      <x:c r="K28" s="130"/>
      <x:c r="L28" s="130"/>
    </x:row>
    <x:row r="29">
      <x:c r="A29" s="130"/>
      <x:c r="B29" s="130"/>
      <x:c r="C29" s="130"/>
      <x:c r="D29" s="130"/>
      <x:c r="E29" s="130"/>
      <x:c r="F29" s="130"/>
      <x:c r="G29" s="130"/>
      <x:c r="H29" s="130"/>
      <x:c r="I29" s="130"/>
      <x:c r="J29" s="130"/>
      <x:c r="K29" s="130"/>
      <x:c r="L29" s="130"/>
    </x:row>
    <x:row r="30">
      <x:c r="A30" s="130"/>
      <x:c r="B30" s="130"/>
      <x:c r="C30" s="130"/>
      <x:c r="D30" s="130"/>
      <x:c r="E30" s="130"/>
      <x:c r="F30" s="130"/>
      <x:c r="G30" s="130"/>
      <x:c r="H30" s="130"/>
      <x:c r="I30" s="130"/>
      <x:c r="J30" s="130"/>
      <x:c r="K30" s="130"/>
      <x:c r="L30" s="130"/>
    </x:row>
    <x:row r="31">
      <x:c r="A31" s="130"/>
      <x:c r="B31" s="130"/>
      <x:c r="C31" s="130"/>
      <x:c r="D31" s="130"/>
      <x:c r="E31" s="130"/>
      <x:c r="F31" s="130"/>
      <x:c r="G31" s="130"/>
      <x:c r="H31" s="130"/>
      <x:c r="I31" s="130"/>
      <x:c r="J31" s="130"/>
      <x:c r="K31" s="130"/>
      <x:c r="L31" s="130"/>
    </x:row>
    <x:row r="32">
      <x:c r="A32" s="130"/>
      <x:c r="B32" s="130"/>
      <x:c r="C32" s="130"/>
      <x:c r="D32" s="130"/>
      <x:c r="E32" s="130"/>
      <x:c r="F32" s="130"/>
      <x:c r="G32" s="130"/>
      <x:c r="H32" s="130"/>
      <x:c r="I32" s="130"/>
      <x:c r="J32" s="130"/>
      <x:c r="K32" s="130"/>
      <x:c r="L32" s="130"/>
    </x:row>
    <x:row r="33">
      <x:c r="A33" s="130"/>
      <x:c r="B33" s="130"/>
      <x:c r="C33" s="130"/>
      <x:c r="D33" s="130"/>
      <x:c r="E33" s="130"/>
      <x:c r="F33" s="130"/>
      <x:c r="G33" s="130"/>
      <x:c r="H33" s="130"/>
      <x:c r="I33" s="130"/>
      <x:c r="J33" s="130"/>
      <x:c r="K33" s="130"/>
      <x:c r="L33" s="130"/>
    </x:row>
    <x:row r="34">
      <x:c r="A34" s="130"/>
      <x:c r="B34" s="130"/>
      <x:c r="C34" s="130"/>
      <x:c r="D34" s="130"/>
      <x:c r="E34" s="130"/>
      <x:c r="F34" s="130"/>
      <x:c r="G34" s="130"/>
      <x:c r="H34" s="130"/>
      <x:c r="I34" s="130"/>
      <x:c r="J34" s="130"/>
      <x:c r="K34" s="130"/>
      <x:c r="L34" s="130"/>
    </x:row>
    <x:row r="35">
      <x:c r="A35" s="130"/>
      <x:c r="B35" s="130"/>
      <x:c r="C35" s="130"/>
      <x:c r="D35" s="130"/>
      <x:c r="E35" s="130"/>
      <x:c r="F35" s="130"/>
      <x:c r="G35" s="130"/>
      <x:c r="H35" s="130"/>
      <x:c r="I35" s="130"/>
      <x:c r="J35" s="130"/>
      <x:c r="K35" s="130"/>
      <x:c r="L35" s="130"/>
    </x:row>
    <x:row r="36">
      <x:c r="A36" s="130"/>
      <x:c r="B36" s="130"/>
      <x:c r="C36" s="130"/>
      <x:c r="D36" s="130"/>
      <x:c r="E36" s="130"/>
      <x:c r="F36" s="130"/>
      <x:c r="G36" s="130"/>
      <x:c r="H36" s="130"/>
      <x:c r="I36" s="130"/>
      <x:c r="J36" s="130"/>
      <x:c r="K36" s="130"/>
      <x:c r="L36" s="130"/>
    </x:row>
    <x:row r="37">
      <x:c r="A37" s="130"/>
      <x:c r="B37" s="130"/>
      <x:c r="C37" s="130"/>
      <x:c r="D37" s="130"/>
      <x:c r="E37" s="130"/>
      <x:c r="F37" s="130"/>
      <x:c r="G37" s="130"/>
      <x:c r="H37" s="130"/>
      <x:c r="I37" s="130"/>
      <x:c r="J37" s="130"/>
      <x:c r="K37" s="130"/>
      <x:c r="L37" s="130"/>
    </x:row>
    <x:row r="38">
      <x:c r="A38" s="130"/>
      <x:c r="B38" s="130"/>
      <x:c r="C38" s="130"/>
      <x:c r="D38" s="130"/>
      <x:c r="E38" s="130"/>
      <x:c r="F38" s="130"/>
      <x:c r="G38" s="130"/>
      <x:c r="H38" s="130"/>
      <x:c r="I38" s="130"/>
      <x:c r="J38" s="130"/>
      <x:c r="K38" s="130"/>
      <x:c r="L38" s="130"/>
    </x:row>
    <x:row r="39">
      <x:c r="A39" s="130"/>
      <x:c r="B39" s="130"/>
      <x:c r="C39" s="130"/>
      <x:c r="D39" s="130"/>
      <x:c r="E39" s="130"/>
      <x:c r="F39" s="130"/>
      <x:c r="G39" s="130"/>
      <x:c r="H39" s="130"/>
      <x:c r="I39" s="130"/>
      <x:c r="J39" s="130"/>
      <x:c r="K39" s="130"/>
      <x:c r="L39" s="130"/>
    </x:row>
    <x:row r="40">
      <x:c r="A40" s="130"/>
      <x:c r="B40" s="130"/>
      <x:c r="C40" s="130"/>
      <x:c r="D40" s="130"/>
      <x:c r="E40" s="130"/>
      <x:c r="F40" s="130"/>
      <x:c r="G40" s="130"/>
      <x:c r="H40" s="130"/>
      <x:c r="I40" s="130"/>
      <x:c r="J40" s="130"/>
      <x:c r="K40" s="130"/>
      <x:c r="L40" s="130"/>
    </x:row>
  </x:sheetData>
  <x:mergeCells>
    <x:mergeCell ref="A1:D1"/>
    <x:mergeCell ref="A18:D18"/>
  </x:mergeCells>
  <x:pageMargins left="0.7" right="0.7" top="0.75" bottom="0.75" header="0.3" footer="0.3"/>
</x:worksheet>
</file>