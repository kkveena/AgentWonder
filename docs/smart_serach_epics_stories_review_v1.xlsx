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rishnakumar/Downloads/"/>
    </mc:Choice>
  </mc:AlternateContent>
  <xr:revisionPtr revIDLastSave="0" documentId="8_{D0D4D016-9D81-0F40-B165-9AEA8A9AE8D0}" xr6:coauthVersionLast="47" xr6:coauthVersionMax="47" xr10:uidLastSave="{00000000-0000-0000-0000-000000000000}"/>
  <bookViews>
    <workbookView xWindow="0" yWindow="660" windowWidth="30240" windowHeight="17860" activeTab="2" xr2:uid="{00000000-000D-0000-FFFF-FFFF00000000}"/>
  </bookViews>
  <sheets>
    <sheet name="Summary" sheetId="1" r:id="rId1"/>
    <sheet name="Epics" sheetId="2" r:id="rId2"/>
    <sheet name="Stories" sheetId="3" r:id="rId3"/>
    <sheet name="List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E6" i="1"/>
  <c r="B6" i="1"/>
  <c r="E5" i="1"/>
  <c r="B5" i="1"/>
  <c r="E4" i="1"/>
  <c r="B4" i="1"/>
</calcChain>
</file>

<file path=xl/sharedStrings.xml><?xml version="1.0" encoding="utf-8"?>
<sst xmlns="http://schemas.openxmlformats.org/spreadsheetml/2006/main" count="173" uniqueCount="101">
  <si>
    <t>Agentic Workflow Backlog for PM Review</t>
  </si>
  <si>
    <t>Epic</t>
  </si>
  <si>
    <t>Story Count</t>
  </si>
  <si>
    <t>Metric</t>
  </si>
  <si>
    <t>Value</t>
  </si>
  <si>
    <t>DS</t>
  </si>
  <si>
    <t>Total Stories</t>
  </si>
  <si>
    <t>Backend</t>
  </si>
  <si>
    <t>Total Spikes</t>
  </si>
  <si>
    <t>UI</t>
  </si>
  <si>
    <t>High Priority Items</t>
  </si>
  <si>
    <t>Product</t>
  </si>
  <si>
    <t>DS Exploration</t>
  </si>
  <si>
    <t>Epic ID</t>
  </si>
  <si>
    <t>Epic Name</t>
  </si>
  <si>
    <t>Area</t>
  </si>
  <si>
    <t>Purpose</t>
  </si>
  <si>
    <t>Included Work</t>
  </si>
  <si>
    <t>EPIC-DS</t>
  </si>
  <si>
    <t>Data Science</t>
  </si>
  <si>
    <t>All Data Science stories</t>
  </si>
  <si>
    <t>Model runtime, framework, experimentation, evaluation, workflow logic</t>
  </si>
  <si>
    <t>EPIC-BE</t>
  </si>
  <si>
    <t>Engineering</t>
  </si>
  <si>
    <t>All engineering work</t>
  </si>
  <si>
    <t>Service integration, runtime integration, performance, APIs, backend implementation</t>
  </si>
  <si>
    <t>EPIC-UI</t>
  </si>
  <si>
    <t>User Interface</t>
  </si>
  <si>
    <t>User interface work</t>
  </si>
  <si>
    <t>Front-end features, configuration screens, workflow management UX</t>
  </si>
  <si>
    <t>EPIC-PROD</t>
  </si>
  <si>
    <t>Product Management</t>
  </si>
  <si>
    <t>Product manager tasks</t>
  </si>
  <si>
    <t>Approvals, requirements, roadmap, stakeholder alignment</t>
  </si>
  <si>
    <t>EPIC-DSX</t>
  </si>
  <si>
    <t>Spike / Exploration</t>
  </si>
  <si>
    <t>Spike stories to achieve the objective</t>
  </si>
  <si>
    <t>Proofs of concept, benchmarks, feasibility studies, legacy comparisons</t>
  </si>
  <si>
    <t>Story ID</t>
  </si>
  <si>
    <t>Story Type</t>
  </si>
  <si>
    <t>Story Title</t>
  </si>
  <si>
    <t>Description</t>
  </si>
  <si>
    <t>Acceptance Criteria</t>
  </si>
  <si>
    <t>Priority</t>
  </si>
  <si>
    <t>Status</t>
  </si>
  <si>
    <t>Owner</t>
  </si>
  <si>
    <t>Dependencies</t>
  </si>
  <si>
    <t>Notes</t>
  </si>
  <si>
    <t>STORY-001</t>
  </si>
  <si>
    <t>Spike</t>
  </si>
  <si>
    <t>Apply Stellar Llama 70B model and measure improvement vs legacy model</t>
  </si>
  <si>
    <t>Run a spike using the Stellar Llama 70B model against the current legacy baseline and document measurable improvement.</t>
  </si>
  <si>
    <t>Benchmark completed; comparison documented against legacy model; results shared with stakeholders.</t>
  </si>
  <si>
    <t>High</t>
  </si>
  <si>
    <t>Not Started</t>
  </si>
  <si>
    <t>Legacy model baseline</t>
  </si>
  <si>
    <t>Mapped to DS Exploration because it is a spike.</t>
  </si>
  <si>
    <t>STORY-002</t>
  </si>
  <si>
    <t>Apply R2D2 + Gemini 2.5 model and measure improvement vs legacy model</t>
  </si>
  <si>
    <t>Run a spike using the R2D2 workflow with Gemini 2.5 and compare output quality and performance against the legacy baseline.</t>
  </si>
  <si>
    <t>Evaluation completed; delta vs legacy documented; recommendation captured.</t>
  </si>
  <si>
    <t>STORY-003</t>
  </si>
  <si>
    <t>Build a RAG pipeline and measure improvement vs legacy model</t>
  </si>
  <si>
    <t>Implement a retrieval-augmented generation pipeline and compare accuracy and user value relative to the legacy model.</t>
  </si>
  <si>
    <t>RAG prototype built; benchmark results documented; recommendation recorded.</t>
  </si>
  <si>
    <t>Knowledge sources / baseline metrics</t>
  </si>
  <si>
    <t>STORY-004</t>
  </si>
  <si>
    <t>Assess support for existing RASA library</t>
  </si>
  <si>
    <t>Evaluate feasibility and approach to support the existing RASA library within the proposed solution architecture.</t>
  </si>
  <si>
    <t>Feasibility findings documented; constraints and recommendation shared.</t>
  </si>
  <si>
    <t>Medium</t>
  </si>
  <si>
    <t>RASA codebase access</t>
  </si>
  <si>
    <t>Originally described as a backend spike; tracked under DS Exploration to preserve spike epic structure.</t>
  </si>
  <si>
    <t>STORY-005</t>
  </si>
  <si>
    <t>Story</t>
  </si>
  <si>
    <t>Call the model from the existing codebase</t>
  </si>
  <si>
    <t>Integrate the selected model invocation path into the existing codebase without full rewrite.</t>
  </si>
  <si>
    <t>Existing codebase can successfully invoke the target model end to end in a test environment.</t>
  </si>
  <si>
    <t>Model endpoint / SDK</t>
  </si>
  <si>
    <t>Mapped from 'Engineering' to Backend.</t>
  </si>
  <si>
    <t>STORY-006</t>
  </si>
  <si>
    <t>Rewrite existing model integration to call the DS model</t>
  </si>
  <si>
    <t>Refactor or rewrite the current model integration layer so the production flow can call the DS-owned model interface.</t>
  </si>
  <si>
    <t>DS model is invoked by the current application flow; legacy path replaced or feature-flagged.</t>
  </si>
  <si>
    <t>STORY-007</t>
  </si>
  <si>
    <t>Obtain MRM approval</t>
  </si>
  <si>
    <t>Prepare and complete Model Risk Management approval activities required for rollout.</t>
  </si>
  <si>
    <t>Required MRM artifacts submitted and approval status recorded.</t>
  </si>
  <si>
    <t>Model documentation, evaluation outputs</t>
  </si>
  <si>
    <t>STORY-008</t>
  </si>
  <si>
    <t>Meet non-functional requirements: fast search &lt;1s and support 100 QPS</t>
  </si>
  <si>
    <t>Design, implement, and validate the system to support fast search under 1 second and throughput of 100 QPS with the model.</t>
  </si>
  <si>
    <t>Performance test report demonstrates &lt;1s search latency and 100 QPS support in agreed conditions.</t>
  </si>
  <si>
    <t>Environment, load test plan</t>
  </si>
  <si>
    <t>Captured as Backend implementation work; PMs can decide whether to split into separate performance stories.</t>
  </si>
  <si>
    <t>In Progress</t>
  </si>
  <si>
    <t>Task</t>
  </si>
  <si>
    <t>Low</t>
  </si>
  <si>
    <t>Blocked</t>
  </si>
  <si>
    <t>Done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</si>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</sst>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Stories by Epic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Summary!$A$4:$A$8</c:f>
              <c:strCache>
                <c:ptCount val="5"/>
                <c:pt idx="0">
                  <c:v>DS</c:v>
                </c:pt>
                <c:pt idx="1">
                  <c:v>Backend</c:v>
                </c:pt>
                <c:pt idx="2">
                  <c:v>UI</c:v>
                </c:pt>
                <c:pt idx="3">
                  <c:v>Product</c:v>
                </c:pt>
                <c:pt idx="4">
                  <c:v>DS Exploration</c:v>
                </c:pt>
              </c:strCache>
            </c:strRef>
          </c:cat>
          <c:val>
            <c:numRef>
              <c:f>Summary!$B$4:$B$8</c:f>
              <c:numCache>
                <c:formatCode>0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9-1240-A5B3-79B13389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csTable" displayName="EpicsTable" ref="A1:E6">
  <tableColumns count="5">
    <tableColumn id="1" xr3:uid="{00000000-0010-0000-0000-000001000000}" name="Epic ID"/>
    <tableColumn id="2" xr3:uid="{00000000-0010-0000-0000-000002000000}" name="Epic Name"/>
    <tableColumn id="3" xr3:uid="{00000000-0010-0000-0000-000003000000}" name="Area"/>
    <tableColumn id="4" xr3:uid="{00000000-0010-0000-0000-000004000000}" name="Purpose"/>
    <tableColumn id="5" xr3:uid="{00000000-0010-0000-0000-000005000000}" name="Included Wo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ListsTable" displayName="ListsTable" ref="A1:E6">
  <tableColumns count="5">
    <tableColumn id="1" xr3:uid="{00000000-0010-0000-0200-000001000000}" name="Story Type"/>
    <tableColumn id="2" xr3:uid="{00000000-0010-0000-0200-000002000000}" name="Priority"/>
    <tableColumn id="3" xr3:uid="{00000000-0010-0000-0200-000003000000}" name="Status"/>
    <tableColumn id="4" xr3:uid="{00000000-0010-0000-0200-000004000000}" name="Epic ID"/>
    <tableColumn id="5" xr3:uid="{00000000-0010-0000-0200-000005000000}" name="Epic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1"/>
    </sheetView>
  </sheetViews>
  <sheetFormatPr baseColWidth="10" defaultColWidth="8.83203125" defaultRowHeight="14"/>
  <cols>
    <col min="1" max="1" width="20" customWidth="1"/>
    <col min="2" max="2" width="14" customWidth="1"/>
    <col min="4" max="4" width="22" customWidth="1"/>
    <col min="5" max="5" width="14" customWidth="1"/>
  </cols>
  <sheetData>
    <row r="1" spans="1:6" ht="32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</row>
    <row r="3" spans="1:6" ht="15">
      <c r="A3" s="1" t="s">
        <v>1</v>
      </c>
      <c r="B3" s="1" t="s">
        <v>2</v>
      </c>
      <c r="D3" s="1" t="s">
        <v>3</v>
      </c>
      <c r="E3" s="1" t="s">
        <v>4</v>
      </c>
    </row>
    <row r="4" spans="1:6">
      <c r="A4" t="s">
        <v>5</v>
      </c>
      <c r="B4" s="3">
        <f>COUNTIF(Stories!C:C,"DS")</f>
        <v>0</v>
      </c>
      <c r="D4" t="s">
        <v>6</v>
      </c>
      <c r="E4" s="3">
        <f>COUNTA(Stories!A:A)-1</f>
        <v>8</v>
      </c>
    </row>
    <row r="5" spans="1:6">
      <c r="A5" t="s">
        <v>7</v>
      </c>
      <c r="B5" s="3">
        <f>COUNTIF(Stories!C:C,"Backend")</f>
        <v>3</v>
      </c>
      <c r="D5" t="s">
        <v>8</v>
      </c>
      <c r="E5" s="3">
        <f>COUNTIF(Stories!D:D,"Spike")</f>
        <v>4</v>
      </c>
    </row>
    <row r="6" spans="1:6">
      <c r="A6" t="s">
        <v>9</v>
      </c>
      <c r="B6" s="3">
        <f>COUNTIF(Stories!C:C,"UI")</f>
        <v>0</v>
      </c>
      <c r="D6" t="s">
        <v>10</v>
      </c>
      <c r="E6" s="3">
        <f>COUNTIF(Stories!H:H,"High")</f>
        <v>7</v>
      </c>
    </row>
    <row r="7" spans="1:6">
      <c r="A7" t="s">
        <v>11</v>
      </c>
      <c r="B7" s="3">
        <f>COUNTIF(Stories!C:C,"Product")</f>
        <v>1</v>
      </c>
    </row>
    <row r="8" spans="1:6">
      <c r="A8" t="s">
        <v>12</v>
      </c>
      <c r="B8" s="3">
        <f>COUNTIF(Stories!C:C,"DS Exploration")</f>
        <v>4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4"/>
  <cols>
    <col min="1" max="1" width="12" customWidth="1"/>
    <col min="2" max="3" width="18" customWidth="1"/>
    <col min="4" max="4" width="28" customWidth="1"/>
    <col min="5" max="5" width="42" customWidth="1"/>
  </cols>
  <sheetData>
    <row r="1" spans="1:5" ht="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30">
      <c r="A2" t="s">
        <v>18</v>
      </c>
      <c r="B2" t="s">
        <v>5</v>
      </c>
      <c r="C2" t="s">
        <v>19</v>
      </c>
      <c r="D2" s="2" t="s">
        <v>20</v>
      </c>
      <c r="E2" s="2" t="s">
        <v>21</v>
      </c>
    </row>
    <row r="3" spans="1:5" ht="30">
      <c r="A3" t="s">
        <v>22</v>
      </c>
      <c r="B3" t="s">
        <v>7</v>
      </c>
      <c r="C3" t="s">
        <v>23</v>
      </c>
      <c r="D3" s="2" t="s">
        <v>24</v>
      </c>
      <c r="E3" s="2" t="s">
        <v>25</v>
      </c>
    </row>
    <row r="4" spans="1:5" ht="30">
      <c r="A4" t="s">
        <v>26</v>
      </c>
      <c r="B4" t="s">
        <v>9</v>
      </c>
      <c r="C4" t="s">
        <v>27</v>
      </c>
      <c r="D4" s="2" t="s">
        <v>28</v>
      </c>
      <c r="E4" s="2" t="s">
        <v>29</v>
      </c>
    </row>
    <row r="5" spans="1:5" ht="30">
      <c r="A5" t="s">
        <v>30</v>
      </c>
      <c r="B5" t="s">
        <v>11</v>
      </c>
      <c r="C5" t="s">
        <v>31</v>
      </c>
      <c r="D5" s="2" t="s">
        <v>32</v>
      </c>
      <c r="E5" s="2" t="s">
        <v>33</v>
      </c>
    </row>
    <row r="6" spans="1:5" ht="30">
      <c r="A6" t="s">
        <v>34</v>
      </c>
      <c r="B6" t="s">
        <v>12</v>
      </c>
      <c r="C6" t="s">
        <v>35</v>
      </c>
      <c r="D6" s="2" t="s">
        <v>36</v>
      </c>
      <c r="E6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tabSelected="1" topLeftCell="A2" workbookViewId="0"/>
  </sheetViews>
  <sheetFormatPr baseColWidth="10" defaultColWidth="8.83203125" defaultRowHeight="14"/>
  <cols>
    <col min="1" max="2" width="12" customWidth="1"/>
    <col min="3" max="3" width="18" customWidth="1"/>
    <col min="4" max="4" width="12" customWidth="1"/>
    <col min="5" max="5" width="34" customWidth="1"/>
    <col min="6" max="7" width="42" customWidth="1"/>
    <col min="8" max="8" width="10" customWidth="1"/>
    <col min="9" max="10" width="12" customWidth="1"/>
    <col min="11" max="11" width="20" customWidth="1"/>
    <col min="12" max="12" width="38" customWidth="1"/>
  </cols>
  <sheetData>
    <row r="1" spans="1:12" ht="15">
      <c r="A1" s="1" t="s">
        <v>38</v>
      </c>
      <c r="B1" s="1" t="s">
        <v>13</v>
      </c>
      <c r="C1" s="1" t="s">
        <v>1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ht="45">
      <c r="A2" t="s">
        <v>48</v>
      </c>
      <c r="B2" t="s">
        <v>34</v>
      </c>
      <c r="C2" t="s">
        <v>12</v>
      </c>
      <c r="D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/>
      <c r="K2" s="2" t="s">
        <v>55</v>
      </c>
      <c r="L2" s="2" t="s">
        <v>56</v>
      </c>
    </row>
    <row r="3" spans="1:12" ht="45">
      <c r="A3" t="s">
        <v>57</v>
      </c>
      <c r="B3" t="s">
        <v>34</v>
      </c>
      <c r="C3" t="s">
        <v>12</v>
      </c>
      <c r="D3" t="s">
        <v>49</v>
      </c>
      <c r="E3" s="2" t="s">
        <v>58</v>
      </c>
      <c r="F3" s="2" t="s">
        <v>59</v>
      </c>
      <c r="G3" s="2" t="s">
        <v>60</v>
      </c>
      <c r="H3" s="2" t="s">
        <v>53</v>
      </c>
      <c r="I3" s="2" t="s">
        <v>54</v>
      </c>
      <c r="J3" s="2"/>
      <c r="K3" s="2" t="s">
        <v>55</v>
      </c>
      <c r="L3" s="2" t="s">
        <v>56</v>
      </c>
    </row>
    <row r="4" spans="1:12" ht="45">
      <c r="A4" t="s">
        <v>61</v>
      </c>
      <c r="B4" t="s">
        <v>34</v>
      </c>
      <c r="C4" t="s">
        <v>12</v>
      </c>
      <c r="D4" t="s">
        <v>49</v>
      </c>
      <c r="E4" s="2" t="s">
        <v>62</v>
      </c>
      <c r="F4" s="2" t="s">
        <v>63</v>
      </c>
      <c r="G4" s="2" t="s">
        <v>64</v>
      </c>
      <c r="H4" s="2" t="s">
        <v>53</v>
      </c>
      <c r="I4" s="2" t="s">
        <v>54</v>
      </c>
      <c r="J4" s="2"/>
      <c r="K4" s="2" t="s">
        <v>65</v>
      </c>
      <c r="L4" s="2" t="s">
        <v>56</v>
      </c>
    </row>
    <row r="5" spans="1:12" ht="45">
      <c r="A5" t="s">
        <v>66</v>
      </c>
      <c r="B5" t="s">
        <v>34</v>
      </c>
      <c r="C5" t="s">
        <v>12</v>
      </c>
      <c r="D5" t="s">
        <v>49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54</v>
      </c>
      <c r="J5" s="2"/>
      <c r="K5" s="2" t="s">
        <v>71</v>
      </c>
      <c r="L5" s="2" t="s">
        <v>72</v>
      </c>
    </row>
    <row r="6" spans="1:12" ht="30">
      <c r="A6" t="s">
        <v>73</v>
      </c>
      <c r="B6" t="s">
        <v>22</v>
      </c>
      <c r="C6" t="s">
        <v>7</v>
      </c>
      <c r="D6" t="s">
        <v>74</v>
      </c>
      <c r="E6" s="2" t="s">
        <v>75</v>
      </c>
      <c r="F6" s="2" t="s">
        <v>76</v>
      </c>
      <c r="G6" s="2" t="s">
        <v>77</v>
      </c>
      <c r="H6" s="2" t="s">
        <v>53</v>
      </c>
      <c r="I6" s="2" t="s">
        <v>54</v>
      </c>
      <c r="J6" s="2"/>
      <c r="K6" s="2" t="s">
        <v>78</v>
      </c>
      <c r="L6" s="2" t="s">
        <v>79</v>
      </c>
    </row>
    <row r="7" spans="1:12" ht="45">
      <c r="A7" t="s">
        <v>80</v>
      </c>
      <c r="B7" t="s">
        <v>22</v>
      </c>
      <c r="C7" t="s">
        <v>7</v>
      </c>
      <c r="D7" t="s">
        <v>74</v>
      </c>
      <c r="E7" s="2" t="s">
        <v>81</v>
      </c>
      <c r="F7" s="2" t="s">
        <v>82</v>
      </c>
      <c r="G7" s="2" t="s">
        <v>83</v>
      </c>
      <c r="H7" s="2" t="s">
        <v>53</v>
      </c>
      <c r="I7" s="2" t="s">
        <v>54</v>
      </c>
      <c r="J7" s="2"/>
      <c r="K7" s="2" t="s">
        <v>73</v>
      </c>
      <c r="L7" s="2" t="s">
        <v>79</v>
      </c>
    </row>
    <row r="8" spans="1:12" ht="30">
      <c r="A8" t="s">
        <v>84</v>
      </c>
      <c r="B8" t="s">
        <v>30</v>
      </c>
      <c r="C8" t="s">
        <v>11</v>
      </c>
      <c r="D8" t="s">
        <v>74</v>
      </c>
      <c r="E8" s="2" t="s">
        <v>85</v>
      </c>
      <c r="F8" s="2" t="s">
        <v>86</v>
      </c>
      <c r="G8" s="2" t="s">
        <v>87</v>
      </c>
      <c r="H8" s="2" t="s">
        <v>53</v>
      </c>
      <c r="I8" s="2" t="s">
        <v>54</v>
      </c>
      <c r="J8" s="2"/>
      <c r="K8" s="2" t="s">
        <v>88</v>
      </c>
      <c r="L8" s="2"/>
    </row>
    <row r="9" spans="1:12" ht="45">
      <c r="A9" t="s">
        <v>89</v>
      </c>
      <c r="B9" t="s">
        <v>22</v>
      </c>
      <c r="C9" t="s">
        <v>7</v>
      </c>
      <c r="D9" t="s">
        <v>74</v>
      </c>
      <c r="E9" s="2" t="s">
        <v>90</v>
      </c>
      <c r="F9" s="2" t="s">
        <v>91</v>
      </c>
      <c r="G9" s="2" t="s">
        <v>92</v>
      </c>
      <c r="H9" s="2" t="s">
        <v>53</v>
      </c>
      <c r="I9" s="2" t="s">
        <v>54</v>
      </c>
      <c r="J9" s="2"/>
      <c r="K9" s="2" t="s">
        <v>93</v>
      </c>
      <c r="L9" s="2" t="s">
        <v>94</v>
      </c>
    </row>
  </sheetData>
  <conditionalFormatting sqref="H2:H50">
    <cfRule type="expression" dxfId="4" priority="1">
      <formula>H2="High"</formula>
    </cfRule>
    <cfRule type="expression" dxfId="3" priority="2">
      <formula>H2="Medium"</formula>
    </cfRule>
  </conditionalFormatting>
  <conditionalFormatting sqref="I2:I50">
    <cfRule type="expression" dxfId="2" priority="3">
      <formula>I2="Done"</formula>
    </cfRule>
    <cfRule type="expression" dxfId="1" priority="4">
      <formula>I2="Blocked"</formula>
    </cfRule>
    <cfRule type="expression" dxfId="0" priority="5">
      <formula>I2="In Progress"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Lists!$A$2:$A$4</xm:f>
          </x14:formula1>
          <xm:sqref>D2:D50</xm:sqref>
        </x14:dataValidation>
        <x14:dataValidation type="list" xr:uid="{00000000-0002-0000-0200-000001000000}">
          <x14:formula1>
            <xm:f>Lists!$B$2:$B$4</xm:f>
          </x14:formula1>
          <xm:sqref>H2:H50</xm:sqref>
        </x14:dataValidation>
        <x14:dataValidation type="list" xr:uid="{00000000-0002-0000-0200-000002000000}">
          <x14:formula1>
            <xm:f>Lists!$C$2:$C$6</xm:f>
          </x14:formula1>
          <xm:sqref>I2:I50</xm:sqref>
        </x14:dataValidation>
        <x14:dataValidation type="list" xr:uid="{00000000-0002-0000-0200-000003000000}">
          <x14:formula1>
            <xm:f>Lists!$D$2:$D$6</xm:f>
          </x14:formula1>
          <xm:sqref>B2:B50</xm:sqref>
        </x14:dataValidation>
        <x14:dataValidation type="list" xr:uid="{00000000-0002-0000-0200-000004000000}">
          <x14:formula1>
            <xm:f>Lists!$E$2:$E$6</xm:f>
          </x14:formula1>
          <xm:sqref>C2:C50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4"/>
  <cols>
    <col min="1" max="5" width="18" customWidth="1"/>
  </cols>
  <sheetData>
    <row r="1" spans="1:5" ht="15">
      <c r="A1" s="1" t="s">
        <v>39</v>
      </c>
      <c r="B1" s="1" t="s">
        <v>43</v>
      </c>
      <c r="C1" s="1" t="s">
        <v>44</v>
      </c>
      <c r="D1" s="1" t="s">
        <v>13</v>
      </c>
      <c r="E1" s="1" t="s">
        <v>14</v>
      </c>
    </row>
    <row r="2" spans="1:5">
      <c r="A2" t="s">
        <v>74</v>
      </c>
      <c r="B2" t="s">
        <v>53</v>
      </c>
      <c r="C2" t="s">
        <v>54</v>
      </c>
      <c r="D2" t="s">
        <v>18</v>
      </c>
      <c r="E2" t="s">
        <v>5</v>
      </c>
    </row>
    <row r="3" spans="1:5">
      <c r="A3" t="s">
        <v>49</v>
      </c>
      <c r="B3" t="s">
        <v>70</v>
      </c>
      <c r="C3" t="s">
        <v>95</v>
      </c>
      <c r="D3" t="s">
        <v>22</v>
      </c>
      <c r="E3" t="s">
        <v>7</v>
      </c>
    </row>
    <row r="4" spans="1:5">
      <c r="A4" t="s">
        <v>96</v>
      </c>
      <c r="B4" t="s">
        <v>97</v>
      </c>
      <c r="C4" t="s">
        <v>98</v>
      </c>
      <c r="D4" t="s">
        <v>26</v>
      </c>
      <c r="E4" t="s">
        <v>9</v>
      </c>
    </row>
    <row r="5" spans="1:5">
      <c r="C5" t="s">
        <v>99</v>
      </c>
      <c r="D5" t="s">
        <v>30</v>
      </c>
      <c r="E5" t="s">
        <v>11</v>
      </c>
    </row>
    <row r="6" spans="1:5">
      <c r="C6" t="s">
        <v>100</v>
      </c>
      <c r="D6" t="s">
        <v>34</v>
      </c>
      <c r="E6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Epics</vt:lpstr>
      <vt:lpstr>Stories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OMSA Class</cp:lastModifiedBy>
  <dcterms:created xsi:type="dcterms:W3CDTF">2026-04-21T17:03:11Z</dcterms:created>
  <dcterms:modified xsi:type="dcterms:W3CDTF">2026-04-21T17:05:58Z</dcterms:modified>
</cp:coreProperties>
</file>