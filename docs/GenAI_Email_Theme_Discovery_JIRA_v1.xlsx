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krishnakumar/Downloads/"/>
    </mc:Choice>
  </mc:AlternateContent>
  <xr:revisionPtr revIDLastSave="0" documentId="8_{06FB2DEF-B606-E14E-9A6A-A67C9AF70688}" xr6:coauthVersionLast="47" xr6:coauthVersionMax="47" xr10:uidLastSave="{00000000-0000-0000-0000-000000000000}"/>
  <bookViews>
    <workbookView xWindow="0" yWindow="660" windowWidth="30240" windowHeight="17880" activeTab="2" xr2:uid="{00000000-000D-0000-FFFF-FFFF00000000}"/>
  </bookViews>
  <sheets>
    <sheet name="Executive Summary" sheetId="1" r:id="rId1"/>
    <sheet name="JIRA Backlog" sheetId="2" r:id="rId2"/>
    <sheet name="MVP Scope" sheetId="3" r:id="rId3"/>
    <sheet name="Dagster Asset Map" sheetId="4" r:id="rId4"/>
    <sheet name="Category Lists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B12" i="1"/>
  <c r="B11" i="1"/>
  <c r="F10" i="1"/>
  <c r="E10" i="1"/>
  <c r="B10" i="1"/>
  <c r="F9" i="1"/>
  <c r="E9" i="1"/>
  <c r="B9" i="1"/>
  <c r="F8" i="1"/>
  <c r="E8" i="1"/>
  <c r="B8" i="1"/>
  <c r="F7" i="1"/>
  <c r="E7" i="1"/>
  <c r="B7" i="1"/>
  <c r="F6" i="1"/>
  <c r="E6" i="1"/>
  <c r="B6" i="1"/>
</calcChain>
</file>

<file path=xl/sharedStrings.xml><?xml version="1.0" encoding="utf-8"?>
<sst xmlns="http://schemas.openxmlformats.org/spreadsheetml/2006/main" count="797" uniqueCount="442">
  <si>
    <t>GenAI Email Theme Discovery Workbench — EPIC / JIRA Backlog</t>
  </si>
  <si>
    <t>Purpose: create a PM-ready backlog for an email summarization, embedding, clustering, Gemini labeling, Dagster orchestration, and UI-based taxonomy review platform. MVP focuses on discovery, explainability, visual inspection, and maker/checker approval of Level 1 / Level 2 labels.</t>
  </si>
  <si>
    <t>Metric</t>
  </si>
  <si>
    <t>Value</t>
  </si>
  <si>
    <t>Epic</t>
  </si>
  <si>
    <t>Total Stories</t>
  </si>
  <si>
    <t>MVP Stories</t>
  </si>
  <si>
    <t>DS Exploration</t>
  </si>
  <si>
    <t>DS</t>
  </si>
  <si>
    <t>Post-MVP Stories</t>
  </si>
  <si>
    <t>Backend / Engineering</t>
  </si>
  <si>
    <t>P0 Stories</t>
  </si>
  <si>
    <t>UI</t>
  </si>
  <si>
    <t>P1 Stories</t>
  </si>
  <si>
    <t>Product / Governance</t>
  </si>
  <si>
    <t>P2 Stories</t>
  </si>
  <si>
    <t>Epics</t>
  </si>
  <si>
    <t>P0</t>
  </si>
  <si>
    <t>P1</t>
  </si>
  <si>
    <t>P2</t>
  </si>
  <si>
    <t>MVP %</t>
  </si>
  <si>
    <t>JIRA Key</t>
  </si>
  <si>
    <t>Workstream</t>
  </si>
  <si>
    <t>Story Title</t>
  </si>
  <si>
    <t>User Story</t>
  </si>
  <si>
    <t>Acceptance Criteria</t>
  </si>
  <si>
    <t>Priority</t>
  </si>
  <si>
    <t>Status</t>
  </si>
  <si>
    <t>Owner</t>
  </si>
  <si>
    <t>Dependencies</t>
  </si>
  <si>
    <t>Deliverable / Artifact</t>
  </si>
  <si>
    <t>Sprint</t>
  </si>
  <si>
    <t>MVP Flag</t>
  </si>
  <si>
    <t>Business Value</t>
  </si>
  <si>
    <t>Notes</t>
  </si>
  <si>
    <t>DSX-01</t>
  </si>
  <si>
    <t>Data Discovery</t>
  </si>
  <si>
    <t>Profile email dataset for clustering readiness</t>
  </si>
  <si>
    <t>As a data scientist, I want to profile email subjects, bodies, threads, and communication metadata so that we understand data quality before clustering.</t>
  </si>
  <si>
    <t>Dataset profile completed; duplicate emails, chains, signatures, and disclaimers identified; required fields documented.</t>
  </si>
  <si>
    <t>Ready for Grooming</t>
  </si>
  <si>
    <t>Data Science</t>
  </si>
  <si>
    <t>Email sample dataset access</t>
  </si>
  <si>
    <t>Data profiling report</t>
  </si>
  <si>
    <t>Sprint 0</t>
  </si>
  <si>
    <t>MVP</t>
  </si>
  <si>
    <t>Reduces data quality risk before DS investment</t>
  </si>
  <si>
    <t>DSX-02</t>
  </si>
  <si>
    <t>Embedding Strategy</t>
  </si>
  <si>
    <t>Compare raw email vs structured summary embeddings</t>
  </si>
  <si>
    <t>As a data scientist, I want to compare embeddings from raw email text versus Gemini-generated structured summaries so that we choose the best clustering input.</t>
  </si>
  <si>
    <t>At least 3 embedding input strategies compared; sample clusters reviewed; recommendation documented.</t>
  </si>
  <si>
    <t>Embedding strategy comparison</t>
  </si>
  <si>
    <t>Selects the right semantic representation for labels/themes</t>
  </si>
  <si>
    <t>DSX-03</t>
  </si>
  <si>
    <t>Clustering Baseline</t>
  </si>
  <si>
    <t>Explore PCA + hierarchical clustering baseline</t>
  </si>
  <si>
    <t>As a data scientist, I want to test PCA followed by agglomerative/hierarchical clustering so that we have an interpretable baseline taxonomy.</t>
  </si>
  <si>
    <t>PCA dimensionality options tested; dendrogram generated; cluster quality metrics captured; representative clusters reviewed.</t>
  </si>
  <si>
    <t>Baseline clustering notebook</t>
  </si>
  <si>
    <t>Sprint 1</t>
  </si>
  <si>
    <t>Creates explainable baseline for PM review</t>
  </si>
  <si>
    <t>DSX-04</t>
  </si>
  <si>
    <t>Visualization Prototype</t>
  </si>
  <si>
    <t>Explore UMAP and t-SNE visualization for email clusters</t>
  </si>
  <si>
    <t>As a product/data science team, we want UMAP and t-SNE views so that users can visually inspect cluster separation.</t>
  </si>
  <si>
    <t>UMAP and t-SNE plots generated; clusters color-coded; hover metadata available in prototype; limitations documented.</t>
  </si>
  <si>
    <t>2D visualization notebook</t>
  </si>
  <si>
    <t>Improves business confidence in clustering output</t>
  </si>
  <si>
    <t>DSX-05</t>
  </si>
  <si>
    <t>Clustering Comparison</t>
  </si>
  <si>
    <t>Explore density-based clustering with HDBSCAN/DBSCAN</t>
  </si>
  <si>
    <t>As a data scientist, I want to test density-based clustering so that noisy/outlier emails are not forced into incorrect labels.</t>
  </si>
  <si>
    <t>Density clustering tested; noise bucket identified; cluster size distribution captured; comparison documented.</t>
  </si>
  <si>
    <t>Not Started</t>
  </si>
  <si>
    <t>Density clustering comparison</t>
  </si>
  <si>
    <t>Post-MVP</t>
  </si>
  <si>
    <t>Identifies outliers and improves label purity</t>
  </si>
  <si>
    <t>Prefer HDBSCAN where available; DBSCAN can be fallback.</t>
  </si>
  <si>
    <t>DSX-06</t>
  </si>
  <si>
    <t>Evaluation</t>
  </si>
  <si>
    <t>Define cluster evaluation framework</t>
  </si>
  <si>
    <t>As a product/data science team, we want objective and human-review metrics so that clustering quality can be measured before production.</t>
  </si>
  <si>
    <t>Metrics include cluster coherence, silhouette/Davies-Bouldin where applicable, label consistency, business interpretability, and noise rate.</t>
  </si>
  <si>
    <t>DSX-03, DSX-04</t>
  </si>
  <si>
    <t>Evaluation framework</t>
  </si>
  <si>
    <t>Creates measurable MVP success criteria</t>
  </si>
  <si>
    <t>DSX-07</t>
  </si>
  <si>
    <t>Recommendation</t>
  </si>
  <si>
    <t>Recommend final MVP clustering approach</t>
  </si>
  <si>
    <t>As a product manager, I want a clear recommendation on the clustering approach so that the team can move from exploration to build.</t>
  </si>
  <si>
    <t>Recommendation document completed with chosen algorithm, tradeoffs, risks, assumptions, and MVP scope.</t>
  </si>
  <si>
    <t>Product Manager</t>
  </si>
  <si>
    <t>DSX-03, DSX-04, DSX-06</t>
  </si>
  <si>
    <t>MVP approach recommendation</t>
  </si>
  <si>
    <t>Aligns PM, DS, and engineering on build direction</t>
  </si>
  <si>
    <t>DS-01</t>
  </si>
  <si>
    <t>Summarization</t>
  </si>
  <si>
    <t>Define structured Gemini summary schema</t>
  </si>
  <si>
    <t>As a data scientist, I want Gemini to produce structured summaries so that clustering inputs are consistent and less noisy.</t>
  </si>
  <si>
    <t>JSON schema defined with summary, business intent, requested action, entities, urgency, risk, and evidence phrases.</t>
  </si>
  <si>
    <t>Structured summary schema</t>
  </si>
  <si>
    <t>Creates standardized input for clustering and labeling</t>
  </si>
  <si>
    <t>DS-02</t>
  </si>
  <si>
    <t>Preprocessing</t>
  </si>
  <si>
    <t>Build email cleaning and preprocessing logic</t>
  </si>
  <si>
    <t>As a data scientist, I want to remove signatures, disclaimers, forwarded chains, and duplicate text so that summarization and embeddings are higher quality.</t>
  </si>
  <si>
    <t>Cleaning logic implemented; before/after examples reviewed; exceptions logged.</t>
  </si>
  <si>
    <t>Email preprocessing module</t>
  </si>
  <si>
    <t>Improves summary and embedding quality</t>
  </si>
  <si>
    <t>DS-03</t>
  </si>
  <si>
    <t>Generate Gemini structured summaries for email corpus</t>
  </si>
  <si>
    <t>As a data scientist, I want to summarize email subject/body/thread content so that downstream clustering uses normalized business meaning.</t>
  </si>
  <si>
    <t>Batch summarization job completed; JSON outputs persisted; failed records captured for retry.</t>
  </si>
  <si>
    <t>DS-01, BE-05</t>
  </si>
  <si>
    <t>Structured summaries dataset</t>
  </si>
  <si>
    <t>Sprint 2</t>
  </si>
  <si>
    <t>Transforms raw email noise into business meaning</t>
  </si>
  <si>
    <t>DS-04</t>
  </si>
  <si>
    <t>Embeddings</t>
  </si>
  <si>
    <t>Generate embeddings from structured summaries</t>
  </si>
  <si>
    <t>As a data scientist, I want embeddings from summary, intent, action, and entities so that similar emails can be grouped semantically.</t>
  </si>
  <si>
    <t>Embeddings generated and stored; embedding model/version captured; input text template documented.</t>
  </si>
  <si>
    <t>Embeddings dataset</t>
  </si>
  <si>
    <t>Enables semantic grouping of emails</t>
  </si>
  <si>
    <t>DS-05</t>
  </si>
  <si>
    <t>Dimensionality Reduction</t>
  </si>
  <si>
    <t>Build dimensionality reduction assets</t>
  </si>
  <si>
    <t>As a data scientist, I want PCA/UMAP/t-SNE reduced representations so that clusters can be analyzed and visualized.</t>
  </si>
  <si>
    <t>PCA vectors persisted for clustering; UMAP/t-SNE 2D coordinates persisted for UI.</t>
  </si>
  <si>
    <t>PCA vectors and 2D coordinates</t>
  </si>
  <si>
    <t>Feeds both clustering and UI visualization</t>
  </si>
  <si>
    <t>DS-06</t>
  </si>
  <si>
    <t>Clustering</t>
  </si>
  <si>
    <t>Build clustering asset</t>
  </si>
  <si>
    <t>As a data scientist, I want to run selected clustering algorithms so that emails are assigned to discovered theme groups.</t>
  </si>
  <si>
    <t>Cluster IDs assigned; noise/outlier records handled; cluster metadata stored.</t>
  </si>
  <si>
    <t>Cluster assignments</t>
  </si>
  <si>
    <t>Produces initial discovered themes/classes</t>
  </si>
  <si>
    <t>DS-07</t>
  </si>
  <si>
    <t>Cluster Explanation</t>
  </si>
  <si>
    <t>Select representative examples per cluster</t>
  </si>
  <si>
    <t>As a data scientist, I want central and boundary examples from each cluster so that Gemini can label clusters using representative samples.</t>
  </si>
  <si>
    <t>For each cluster, central examples, boundary examples, top terms, and neighboring clusters generated.</t>
  </si>
  <si>
    <t>Cluster representative examples</t>
  </si>
  <si>
    <t>Makes Gemini labeling more reliable and explainable</t>
  </si>
  <si>
    <t>DS-08</t>
  </si>
  <si>
    <t>LLM Labeling</t>
  </si>
  <si>
    <t>Generate cluster labels using Gemini 2.5 Pro</t>
  </si>
  <si>
    <t>As a product manager, I want Gemini to propose business-friendly Level 1 and Level 2 labels so that clusters can become usable taxonomy candidates.</t>
  </si>
  <si>
    <t>Output includes Level 1 theme, Level 2 label, definition, inclusion/exclusion criteria, confidence, and merge/split recommendation.</t>
  </si>
  <si>
    <t>DS-07, BE-05</t>
  </si>
  <si>
    <t>Gemini-generated taxonomy candidates</t>
  </si>
  <si>
    <t>Sprint 3</t>
  </si>
  <si>
    <t>Converts clusters into PM-reviewable labels</t>
  </si>
  <si>
    <t>DS-09</t>
  </si>
  <si>
    <t>Taxonomy Versioning</t>
  </si>
  <si>
    <t>Create taxonomy versioning logic</t>
  </si>
  <si>
    <t>As a data scientist, I want each taxonomy run versioned so that approved labels can be compared across runs.</t>
  </si>
  <si>
    <t>Taxonomy version ID created; cluster run, prompt version, model version, and reviewer status captured.</t>
  </si>
  <si>
    <t>DS-08, BE-04</t>
  </si>
  <si>
    <t>Taxonomy versioning design</t>
  </si>
  <si>
    <t>Supports auditability and repeatable taxonomy refresh</t>
  </si>
  <si>
    <t>DS-10</t>
  </si>
  <si>
    <t>Reporting</t>
  </si>
  <si>
    <t>Build cluster quality report</t>
  </si>
  <si>
    <t>As a product manager, I want a report showing cluster quality and label confidence so that I can approve or reject the taxonomy.</t>
  </si>
  <si>
    <t>Report includes cluster count, top clusters by volume, noise rate, confidence, sample emails, and human review status.</t>
  </si>
  <si>
    <t>Cluster quality report</t>
  </si>
  <si>
    <t>Helps PMs decide what to approve</t>
  </si>
  <si>
    <t>BE-01</t>
  </si>
  <si>
    <t>Dagster</t>
  </si>
  <si>
    <t>Define Dagster asset graph for email clustering</t>
  </si>
  <si>
    <t>As an engineer, I want each pipeline output modeled as a Dagster asset so that the workflow is observable and maintainable.</t>
  </si>
  <si>
    <t>Assets defined for raw emails, cleaned emails, summaries, embeddings, dimensionality reduction, clusters, labels, and reports.</t>
  </si>
  <si>
    <t>Backend Engineering</t>
  </si>
  <si>
    <t>Dagster asset graph</t>
  </si>
  <si>
    <t>Provides repeatable platform pipeline structure</t>
  </si>
  <si>
    <t>BE-02</t>
  </si>
  <si>
    <t>Implement Dagster job for end-to-end clustering run</t>
  </si>
  <si>
    <t>As an engineer, I want a Dagster job that runs the full discovery pipeline so that the process is repeatable.</t>
  </si>
  <si>
    <t>Job executes end-to-end; failures visible; rerun from failed step supported.</t>
  </si>
  <si>
    <t>End-to-end Dagster job</t>
  </si>
  <si>
    <t>Automates repeatable discovery runs</t>
  </si>
  <si>
    <t>BE-03</t>
  </si>
  <si>
    <t>Scheduling</t>
  </si>
  <si>
    <t>Implement Dagster schedule or sensor trigger</t>
  </si>
  <si>
    <t>As an engineer, I want the clustering job to run on demand and optionally on schedule/new data arrival so that PMs can refresh taxonomy.</t>
  </si>
  <si>
    <t>Manual run supported; scheduled run configured; event-based sensor design documented if needed.</t>
  </si>
  <si>
    <t>Schedule/sensor configuration</t>
  </si>
  <si>
    <t>Enables recurring taxonomy refresh</t>
  </si>
  <si>
    <t>BE-04</t>
  </si>
  <si>
    <t>Persistence</t>
  </si>
  <si>
    <t>Persist pipeline outputs with run IDs</t>
  </si>
  <si>
    <t>As an engineer, I want all outputs stored with run IDs so that UI and audit users can retrieve historical clustering results.</t>
  </si>
  <si>
    <t>Tables/files created for summaries, embeddings, clusters, labels, representative examples, and run metadata.</t>
  </si>
  <si>
    <t>Persistence model and storage implementation</t>
  </si>
  <si>
    <t>Enables UI, audit, and repeatability</t>
  </si>
  <si>
    <t>BE-05</t>
  </si>
  <si>
    <t>LLM Service</t>
  </si>
  <si>
    <t>Build Gemini invocation service wrapper</t>
  </si>
  <si>
    <t>As an engineer, I want a standardized Gemini invocation wrapper so that prompts, schemas, retries, and errors are controlled.</t>
  </si>
  <si>
    <t>Wrapper supports structured output, retry, timeout, logging, prompt version, and model version tracking.</t>
  </si>
  <si>
    <t>Gemini service wrapper</t>
  </si>
  <si>
    <t>Controls LLM usage and operational reliability</t>
  </si>
  <si>
    <t>BE-06</t>
  </si>
  <si>
    <t>API</t>
  </si>
  <si>
    <t>Build API to fetch cluster list</t>
  </si>
  <si>
    <t>As a UI developer, I want an API that returns cluster summaries so that the UI can show all discovered themes.</t>
  </si>
  <si>
    <t>API returns cluster ID, size, Level 1 label, Level 2 label, confidence, approval status, and top terms.</t>
  </si>
  <si>
    <t>BE-04, DS-08</t>
  </si>
  <si>
    <t>Cluster list API</t>
  </si>
  <si>
    <t>Feeds cluster review UI</t>
  </si>
  <si>
    <t>BE-07</t>
  </si>
  <si>
    <t>Build API to fetch cluster details</t>
  </si>
  <si>
    <t>As a UI developer, I want an API that returns details for a selected cluster so that users can inspect examples and definitions.</t>
  </si>
  <si>
    <t>API returns central examples, boundary examples, representative summaries, Gemini label output, and nearby clusters.</t>
  </si>
  <si>
    <t>BE-06, DS-07</t>
  </si>
  <si>
    <t>Cluster detail API</t>
  </si>
  <si>
    <t>Enables PM validation of each label</t>
  </si>
  <si>
    <t>BE-08</t>
  </si>
  <si>
    <t>Review Workflow</t>
  </si>
  <si>
    <t>Build API to update label approval status</t>
  </si>
  <si>
    <t>As a product manager, I want to approve, reject, edit, or merge labels so that the taxonomy becomes business-approved.</t>
  </si>
  <si>
    <t>API supports approve, reject, edit label, merge cluster, split recommendation flag, and reviewer notes.</t>
  </si>
  <si>
    <t>BE-07, PROD-03</t>
  </si>
  <si>
    <t>Label review API</t>
  </si>
  <si>
    <t>Enables maker/checker approval workflow</t>
  </si>
  <si>
    <t>BE-09</t>
  </si>
  <si>
    <t>Audit</t>
  </si>
  <si>
    <t>Add audit and lineage tracking</t>
  </si>
  <si>
    <t>As a control/governance user, I want lineage from email to summary to embedding to cluster to label so that the process is explainable.</t>
  </si>
  <si>
    <t>Each label can be traced back to run ID, model version, prompt version, input records, and reviewer action.</t>
  </si>
  <si>
    <t>Platform Engineering</t>
  </si>
  <si>
    <t>BE-04, BE-08</t>
  </si>
  <si>
    <t>Audit lineage model</t>
  </si>
  <si>
    <t>Sprint 4</t>
  </si>
  <si>
    <t>Supports governance and control review</t>
  </si>
  <si>
    <t>BE-10</t>
  </si>
  <si>
    <t>Monitoring</t>
  </si>
  <si>
    <t>Add monitoring and error handling</t>
  </si>
  <si>
    <t>As an engineer, I want pipeline-level monitoring so that failed Gemini calls, invalid JSON, and empty clusters are detected.</t>
  </si>
  <si>
    <t>Error dashboard/logs available; retry queue created; failed records report generated.</t>
  </si>
  <si>
    <t>BE-02, BE-05</t>
  </si>
  <si>
    <t>Monitoring and error report</t>
  </si>
  <si>
    <t>Improves operational readiness</t>
  </si>
  <si>
    <t>UI-01</t>
  </si>
  <si>
    <t>Run Management</t>
  </si>
  <si>
    <t>Build clustering run selection screen</t>
  </si>
  <si>
    <t>As a product manager, I want to select a clustering run so that I can review the latest or prior taxonomy versions.</t>
  </si>
  <si>
    <t>UI shows run date, dataset size, cluster count, noise rate, model version, and status.</t>
  </si>
  <si>
    <t>UI Engineering</t>
  </si>
  <si>
    <t>Run selection screen</t>
  </si>
  <si>
    <t>Allows PMs to start review workflow</t>
  </si>
  <si>
    <t>UI-02</t>
  </si>
  <si>
    <t>Visualization</t>
  </si>
  <si>
    <t>Build UMAP/t-SNE cluster visualization</t>
  </si>
  <si>
    <t>As a product manager, I want a 2D cluster map so that I can visually inspect email theme separation.</t>
  </si>
  <si>
    <t>Scatter plot shows emails colored by cluster; hover shows subject/summary; filters available for cluster, label, confidence, and approval status.</t>
  </si>
  <si>
    <t>BE-06, DS-05</t>
  </si>
  <si>
    <t>2D cluster explorer</t>
  </si>
  <si>
    <t>Makes clustering output understandable to business users</t>
  </si>
  <si>
    <t>UI-03</t>
  </si>
  <si>
    <t>Build hierarchical clustering graph/dendrogram view</t>
  </si>
  <si>
    <t>As a product manager, I want a hierarchy view so that I can understand Level 1 and Level 2 theme relationships.</t>
  </si>
  <si>
    <t>Dendrogram or tree graph available; users can expand/collapse Level 1 and Level 2 groups.</t>
  </si>
  <si>
    <t>BE-06, DS-08</t>
  </si>
  <si>
    <t>Hierarchical taxonomy view</t>
  </si>
  <si>
    <t>Shows how clusters become a 2-level taxonomy</t>
  </si>
  <si>
    <t>UI-04</t>
  </si>
  <si>
    <t>Cluster Review</t>
  </si>
  <si>
    <t>Build cluster detail page</t>
  </si>
  <si>
    <t>As a product manager, I want to click a cluster and see its representative emails so that I can validate the proposed label.</t>
  </si>
  <si>
    <t>Page shows cluster label, definition, central examples, boundary examples, top terms, size, and nearby clusters.</t>
  </si>
  <si>
    <t>Cluster detail page</t>
  </si>
  <si>
    <t>Supports informed label validation</t>
  </si>
  <si>
    <t>UI-05</t>
  </si>
  <si>
    <t>Approval Workflow</t>
  </si>
  <si>
    <t>Build label review and approval workflow</t>
  </si>
  <si>
    <t>As a product manager, I want to approve or edit Gemini-generated labels so that only reviewed taxonomy is promoted.</t>
  </si>
  <si>
    <t>User can approve, reject, edit Level 1/Level 2 label, add notes, and submit decision.</t>
  </si>
  <si>
    <t>BE-08, PROD-03</t>
  </si>
  <si>
    <t>Label approval screen</t>
  </si>
  <si>
    <t>Creates PM-controlled taxonomy approval</t>
  </si>
  <si>
    <t>UI-06</t>
  </si>
  <si>
    <t>Taxonomy Refinement</t>
  </si>
  <si>
    <t>Build merge/split recommendation view</t>
  </si>
  <si>
    <t>As a product manager, I want to see clusters Gemini recommends merging or splitting so that the taxonomy is cleaner.</t>
  </si>
  <si>
    <t>UI shows recommended merge/split candidates with rationale and supporting examples.</t>
  </si>
  <si>
    <t>DS-08, BE-07</t>
  </si>
  <si>
    <t>Merge/split recommendation view</t>
  </si>
  <si>
    <t>Improves taxonomy quality over time</t>
  </si>
  <si>
    <t>UI-07</t>
  </si>
  <si>
    <t>Search</t>
  </si>
  <si>
    <t>Build search and filter capability</t>
  </si>
  <si>
    <t>As an operations user, I want to search emails, clusters, and labels so that I can quickly find themes of interest.</t>
  </si>
  <si>
    <t>Search supports subject, summary, label, entity, cluster ID, and approval status.</t>
  </si>
  <si>
    <t>BE-06, BE-07</t>
  </si>
  <si>
    <t>Search and filters</t>
  </si>
  <si>
    <t>Improves usability for reviewers</t>
  </si>
  <si>
    <t>UI-08</t>
  </si>
  <si>
    <t>Export</t>
  </si>
  <si>
    <t>Build taxonomy export screen</t>
  </si>
  <si>
    <t>As a product manager, I want to export approved labels so that the taxonomy can be shared with downstream classifier or governance teams.</t>
  </si>
  <si>
    <t>Export available as CSV/JSON; includes label hierarchy, definition, inclusion/exclusion criteria, version, and approval metadata.</t>
  </si>
  <si>
    <t>Taxonomy export screen</t>
  </si>
  <si>
    <t>Enables downstream classifier handoff</t>
  </si>
  <si>
    <t>UI-09</t>
  </si>
  <si>
    <t>Comparison</t>
  </si>
  <si>
    <t>Build comparison view across clustering runs</t>
  </si>
  <si>
    <t>As a product manager, I want to compare two taxonomy runs so that I can see whether labels are stable over time.</t>
  </si>
  <si>
    <t>UI shows added/removed/changed clusters, label changes, cluster size changes, and stability indicators.</t>
  </si>
  <si>
    <t>DS-09, BE-04</t>
  </si>
  <si>
    <t>Run comparison view</t>
  </si>
  <si>
    <t>TBD</t>
  </si>
  <si>
    <t>Supports longer-term taxonomy governance</t>
  </si>
  <si>
    <t>PROD-01</t>
  </si>
  <si>
    <t>Objective</t>
  </si>
  <si>
    <t>Define business objective for email theme discovery</t>
  </si>
  <si>
    <t>As a product manager, I want the business goal clearly defined so that DS and engineering optimize for the right outcome.</t>
  </si>
  <si>
    <t>Objective documented: theme discovery, routing labels, operational insights, classifier training taxonomy, or all of the above.</t>
  </si>
  <si>
    <t>None</t>
  </si>
  <si>
    <t>Product objective statement</t>
  </si>
  <si>
    <t>Aligns stakeholders on why this exists</t>
  </si>
  <si>
    <t>PROD-02</t>
  </si>
  <si>
    <t>Taxonomy Standards</t>
  </si>
  <si>
    <t>Define Level 1 and Level 2 taxonomy standards</t>
  </si>
  <si>
    <t>As a product manager, I want naming standards for themes/classes so that labels are consistent and business-friendly.</t>
  </si>
  <si>
    <t>Naming standards documented with examples; Level 1 = broad theme, Level 2 = actionable class.</t>
  </si>
  <si>
    <t>Taxonomy standards</t>
  </si>
  <si>
    <t>Creates consistent labels for business use</t>
  </si>
  <si>
    <t>PROD-03</t>
  </si>
  <si>
    <t>Controls</t>
  </si>
  <si>
    <t>Define review process for proposed labels</t>
  </si>
  <si>
    <t>As a product manager, I want a maker/checker review process so that taxonomy labels are controlled before production use.</t>
  </si>
  <si>
    <t>Reviewer roles defined; approval statuses defined; audit notes required for edits/rejections.</t>
  </si>
  <si>
    <t>Label review workflow</t>
  </si>
  <si>
    <t>Provides governance before production use</t>
  </si>
  <si>
    <t>PROD-04</t>
  </si>
  <si>
    <t>Label Definitions</t>
  </si>
  <si>
    <t>Define inclusion and exclusion criteria standards</t>
  </si>
  <si>
    <t>As a product manager, I want every label to include clear boundaries so that users know when to apply or not apply a class.</t>
  </si>
  <si>
    <t>Every approved label has definition, inclusion criteria, exclusion criteria, and sample examples.</t>
  </si>
  <si>
    <t>Label definition standards</t>
  </si>
  <si>
    <t>Reduces ambiguity in email classification</t>
  </si>
  <si>
    <t>PROD-05</t>
  </si>
  <si>
    <t>Success Metrics</t>
  </si>
  <si>
    <t>Define success metrics for MVP</t>
  </si>
  <si>
    <t>As a product manager, I want measurable MVP success criteria so that the project can be evaluated objectively.</t>
  </si>
  <si>
    <t>Success metrics include cluster interpretability, label approval rate, noise rate, coverage, reviewer satisfaction, and downstream usability.</t>
  </si>
  <si>
    <t>MVP success metrics</t>
  </si>
  <si>
    <t>Defines how success will be measured</t>
  </si>
  <si>
    <t>PROD-06</t>
  </si>
  <si>
    <t>Promotion Criteria</t>
  </si>
  <si>
    <t>Define production promotion criteria</t>
  </si>
  <si>
    <t>As a product manager, I want clear criteria for when a discovered taxonomy can be promoted to production classification.</t>
  </si>
  <si>
    <t>Criteria documented: minimum review coverage, label stability, business approval, audit readiness, and fallback handling.</t>
  </si>
  <si>
    <t>Governance / Control</t>
  </si>
  <si>
    <t>PROD-03, PROD-05</t>
  </si>
  <si>
    <t>Production promotion criteria</t>
  </si>
  <si>
    <t>Controls risk before production classification</t>
  </si>
  <si>
    <t>PROD-07</t>
  </si>
  <si>
    <t>Operating Model</t>
  </si>
  <si>
    <t>Create taxonomy operating model</t>
  </si>
  <si>
    <t>As a product manager, I want an operating model for ongoing taxonomy updates so that labels do not become stale.</t>
  </si>
  <si>
    <t>Defines refresh cadence, owner, approval workflow, versioning, rollback, and communication process.</t>
  </si>
  <si>
    <t>Taxonomy operating model</t>
  </si>
  <si>
    <t>Enables sustainable long-term governance</t>
  </si>
  <si>
    <t>Phase</t>
  </si>
  <si>
    <t>Recommended Stories</t>
  </si>
  <si>
    <t>Outcome / Reason</t>
  </si>
  <si>
    <t>Sprint 0 / Foundation</t>
  </si>
  <si>
    <t>PROD-01, PROD-02, DSX-01, DSX-02</t>
  </si>
  <si>
    <t>Align business objective, define taxonomy standards, profile data, and select embedding strategy.</t>
  </si>
  <si>
    <t>Sprint 1 / Exploration</t>
  </si>
  <si>
    <t>DSX-03, DSX-04, DSX-06, DSX-07, DS-01, DS-02, BE-01, PROD-03, PROD-04, PROD-05</t>
  </si>
  <si>
    <t>Create clustering baseline, visualization prototype, summary schema, preprocessing logic, and governance guardrails.</t>
  </si>
  <si>
    <t>Sprint 2 / Pipeline Build</t>
  </si>
  <si>
    <t>DS-03, DS-04, DS-05, DS-06, DS-07, BE-02, BE-04, BE-05</t>
  </si>
  <si>
    <t>Run structured summarization, embeddings, dimensionality reduction, clustering, representative examples, and Dagster job.</t>
  </si>
  <si>
    <t>Sprint 3 / Labeling + APIs</t>
  </si>
  <si>
    <t>DS-08, DS-10, BE-06, BE-07, BE-08, UI-01, UI-02, UI-03, UI-04</t>
  </si>
  <si>
    <t>Generate Gemini labels and expose cluster list/detail APIs for PM review through cluster explorer UI.</t>
  </si>
  <si>
    <t>Sprint 4 / Review MVP</t>
  </si>
  <si>
    <t>Enable PM approval/edit/reject workflow for Gemini-generated Level 1 / Level 2 taxonomy labels.</t>
  </si>
  <si>
    <t>DSX-05, DS-09, BE-03, BE-09, BE-10, UI-06, UI-07, UI-08, UI-09, PROD-06, PROD-07</t>
  </si>
  <si>
    <t>Add density clustering, taxonomy versioning, scheduling, audit, monitoring, search/export, run comparison, promotion criteria, and operating model.</t>
  </si>
  <si>
    <t>Dagster Asset</t>
  </si>
  <si>
    <t>Description</t>
  </si>
  <si>
    <t>Owning Epic</t>
  </si>
  <si>
    <t>Primary Stories</t>
  </si>
  <si>
    <t>Output Consumers</t>
  </si>
  <si>
    <t>raw_email_corpus</t>
  </si>
  <si>
    <t>Email subject/body/thread/communication metadata loaded for analysis.</t>
  </si>
  <si>
    <t>BE-01, BE-04</t>
  </si>
  <si>
    <t>cleaned_email_corpus</t>
  </si>
  <si>
    <t>Signatures, disclaimers, duplicate chains, and noisy text removed.</t>
  </si>
  <si>
    <t>gemini_structured_summaries</t>
  </si>
  <si>
    <t>Gemini-generated JSON summaries with business intent, action, entities, urgency, risk, and evidence.</t>
  </si>
  <si>
    <t>DS-01, DS-03, BE-05</t>
  </si>
  <si>
    <t>email_summary_embeddings</t>
  </si>
  <si>
    <t>Embeddings created from summary + intent + action + entities.</t>
  </si>
  <si>
    <t>pca_embeddings, umap_coordinates, tsne_coordinates</t>
  </si>
  <si>
    <t>pca_embeddings</t>
  </si>
  <si>
    <t>Reduced-dimensional representation for clustering stability and performance.</t>
  </si>
  <si>
    <t>cluster_assignments</t>
  </si>
  <si>
    <t>umap_coordinates</t>
  </si>
  <si>
    <t>2D coordinates for UI cluster explorer visualization.</t>
  </si>
  <si>
    <t>DS / UI</t>
  </si>
  <si>
    <t>DS-05, UI-02</t>
  </si>
  <si>
    <t>UI cluster map</t>
  </si>
  <si>
    <t>tsne_coordinates</t>
  </si>
  <si>
    <t>Alternative 2D visualization coordinates for comparison and visual validation.</t>
  </si>
  <si>
    <t>Cluster IDs, sizes, and noise/outlier flags per email.</t>
  </si>
  <si>
    <t>cluster_representative_examples, UI</t>
  </si>
  <si>
    <t>cluster_representative_examples</t>
  </si>
  <si>
    <t>Central examples, boundary examples, top terms, and neighboring clusters.</t>
  </si>
  <si>
    <t>gemini_cluster_labels, UI cluster details</t>
  </si>
  <si>
    <t>gemini_cluster_labels</t>
  </si>
  <si>
    <t>Gemini-generated Level 1/Level 2 labels, definitions, inclusion/exclusion criteria, confidence, merge/split recommendations.</t>
  </si>
  <si>
    <t>taxonomy_review_dataset</t>
  </si>
  <si>
    <t>cluster_quality_report</t>
  </si>
  <si>
    <t>Cluster count, top clusters, noise rate, label confidence, and review readiness.</t>
  </si>
  <si>
    <t>PM review</t>
  </si>
  <si>
    <t>PM reviewable dataset containing proposed labels and representative evidence.</t>
  </si>
  <si>
    <t>Backend / UI</t>
  </si>
  <si>
    <t>BE-06, BE-07, UI-04</t>
  </si>
  <si>
    <t>approved_taxonomy</t>
  </si>
  <si>
    <t>Human-reviewed and approved Level 1 / Level 2 taxonomy.</t>
  </si>
  <si>
    <t>PROD-03, UI-05, BE-08</t>
  </si>
  <si>
    <t>Downstream classifier / reporting</t>
  </si>
  <si>
    <t>taxonomy_version_history</t>
  </si>
  <si>
    <t>Historical taxonomy versions across runs with prompt/model/run lineage.</t>
  </si>
  <si>
    <t>DS / Backend</t>
  </si>
  <si>
    <t>DS-09, BE-09</t>
  </si>
  <si>
    <t>Run comparison / audit</t>
  </si>
  <si>
    <t>pipeline_monitoring_events</t>
  </si>
  <si>
    <t>Dagster and LLM error events, invalid JSON, retries, and failed record reports.</t>
  </si>
  <si>
    <t>Operations dashboard</t>
  </si>
  <si>
    <t>In Progress</t>
  </si>
  <si>
    <t>Blocked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</si>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</sst>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0"/>
      <name val="Aptos"/>
    </font>
    <font>
      <i/>
      <sz val="10"/>
      <color rgb="FF1F1F1F"/>
      <name val="Aptos"/>
    </font>
    <font>
      <b/>
      <sz val="10"/>
      <color rgb="FFFFFFFF"/>
      <name val="Aptos"/>
    </font>
    <font>
      <b/>
      <sz val="10"/>
      <name val="Aptos"/>
    </font>
    <font>
      <b/>
      <sz val="18"/>
      <color rgb="FF1F4E78"/>
      <name val="Aptos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3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9" fontId="1" fillId="0" borderId="0" xfId="0" applyNumberFormat="1" applyFont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6">
    <dxf>
      <font>
        <b/>
      </font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C6E0B4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Total Stories</c:v>
          </c:tx>
          <c:invertIfNegative val="1"/>
          <c:cat>
            <c:strRef>
              <c:f>'Executive Summary'!$D$6:$D$10</c:f>
              <c:strCache>
                <c:ptCount val="5"/>
                <c:pt idx="0">
                  <c:v>DS Exploration</c:v>
                </c:pt>
                <c:pt idx="1">
                  <c:v>DS</c:v>
                </c:pt>
                <c:pt idx="2">
                  <c:v>Backend / Engineering</c:v>
                </c:pt>
                <c:pt idx="3">
                  <c:v>UI</c:v>
                </c:pt>
                <c:pt idx="4">
                  <c:v>Product / Governance</c:v>
                </c:pt>
              </c:strCache>
            </c:strRef>
          </c:cat>
          <c:val>
            <c:numRef>
              <c:f>'Executive Summary'!$E$6:$E$10</c:f>
              <c:numCache>
                <c:formatCode>General</c:formatCode>
                <c:ptCount val="5"/>
                <c:pt idx="0">
                  <c:v>7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CB-8445-B36A-23438BFB5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iraBacklogTable" displayName="JiraBacklogTable" ref="A1:O44">
  <tableColumns count="15">
    <tableColumn id="1" xr3:uid="{00000000-0010-0000-0000-000001000000}" name="JIRA Key"/>
    <tableColumn id="2" xr3:uid="{00000000-0010-0000-0000-000002000000}" name="Epic"/>
    <tableColumn id="3" xr3:uid="{00000000-0010-0000-0000-000003000000}" name="Workstream"/>
    <tableColumn id="4" xr3:uid="{00000000-0010-0000-0000-000004000000}" name="Story Title"/>
    <tableColumn id="5" xr3:uid="{00000000-0010-0000-0000-000005000000}" name="User Story"/>
    <tableColumn id="6" xr3:uid="{00000000-0010-0000-0000-000006000000}" name="Acceptance Criteria"/>
    <tableColumn id="7" xr3:uid="{00000000-0010-0000-0000-000007000000}" name="Priority"/>
    <tableColumn id="8" xr3:uid="{00000000-0010-0000-0000-000008000000}" name="Status"/>
    <tableColumn id="9" xr3:uid="{00000000-0010-0000-0000-000009000000}" name="Owner"/>
    <tableColumn id="10" xr3:uid="{00000000-0010-0000-0000-00000A000000}" name="Dependencies"/>
    <tableColumn id="11" xr3:uid="{00000000-0010-0000-0000-00000B000000}" name="Deliverable / Artifact"/>
    <tableColumn id="12" xr3:uid="{00000000-0010-0000-0000-00000C000000}" name="Sprint"/>
    <tableColumn id="13" xr3:uid="{00000000-0010-0000-0000-00000D000000}" name="MVP Flag"/>
    <tableColumn id="14" xr3:uid="{00000000-0010-0000-0000-00000E000000}" name="Business Value"/>
    <tableColumn id="15" xr3:uid="{00000000-0010-0000-0000-00000F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VPScopeTable" displayName="MVPScopeTable" ref="A1:C7">
  <tableColumns count="3">
    <tableColumn id="1" xr3:uid="{00000000-0010-0000-0100-000001000000}" name="Phase"/>
    <tableColumn id="2" xr3:uid="{00000000-0010-0000-0100-000002000000}" name="Recommended Stories"/>
    <tableColumn id="3" xr3:uid="{00000000-0010-0000-0100-000003000000}" name="Outcome / Rea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gsterAssetMapTable" displayName="DagsterAssetMapTable" ref="A1:F16">
  <tableColumns count="6">
    <tableColumn id="1" xr3:uid="{00000000-0010-0000-0200-000001000000}" name="Dagster Asset"/>
    <tableColumn id="2" xr3:uid="{00000000-0010-0000-0200-000002000000}" name="Description"/>
    <tableColumn id="3" xr3:uid="{00000000-0010-0000-0200-000003000000}" name="Owning Epic"/>
    <tableColumn id="4" xr3:uid="{00000000-0010-0000-0200-000004000000}" name="Primary Stories"/>
    <tableColumn id="5" xr3:uid="{00000000-0010-0000-0200-000005000000}" name="Output Consumers"/>
    <tableColumn id="6" xr3:uid="{00000000-0010-0000-0200-000006000000}" name="MVP 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workbookViewId="0">
      <selection sqref="A1:H1"/>
    </sheetView>
  </sheetViews>
  <sheetFormatPr baseColWidth="10" defaultColWidth="8.83203125" defaultRowHeight="14"/>
  <cols>
    <col min="1" max="1" width="28" customWidth="1"/>
    <col min="2" max="2" width="16" customWidth="1"/>
    <col min="4" max="4" width="26" customWidth="1"/>
    <col min="5" max="6" width="16" customWidth="1"/>
  </cols>
  <sheetData>
    <row r="1" spans="1:26" ht="15">
      <c r="A1" s="10" t="s">
        <v>0</v>
      </c>
      <c r="B1" s="11"/>
      <c r="C1" s="11"/>
      <c r="D1" s="11"/>
      <c r="E1" s="11"/>
      <c r="F1" s="11"/>
      <c r="G1" s="11"/>
      <c r="H1" s="1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>
      <c r="A2" s="12" t="s">
        <v>1</v>
      </c>
      <c r="B2" s="11"/>
      <c r="C2" s="11"/>
      <c r="D2" s="11"/>
      <c r="E2" s="11"/>
      <c r="F2" s="11"/>
      <c r="G2" s="11"/>
      <c r="H2" s="1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>
      <c r="A3" s="11"/>
      <c r="B3" s="11"/>
      <c r="C3" s="11"/>
      <c r="D3" s="11"/>
      <c r="E3" s="11"/>
      <c r="F3" s="11"/>
      <c r="G3" s="11"/>
      <c r="H3" s="1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>
      <c r="A4" s="1"/>
      <c r="B4" s="1"/>
      <c r="C4" s="1"/>
      <c r="D4" s="1"/>
      <c r="E4" s="1"/>
      <c r="F4" s="1"/>
      <c r="G4" s="1"/>
      <c r="H4" s="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>
      <c r="A5" s="3" t="s">
        <v>2</v>
      </c>
      <c r="B5" s="3" t="s">
        <v>3</v>
      </c>
      <c r="C5" s="4"/>
      <c r="D5" s="3" t="s">
        <v>4</v>
      </c>
      <c r="E5" s="3" t="s">
        <v>5</v>
      </c>
      <c r="F5" s="3" t="s">
        <v>6</v>
      </c>
      <c r="G5" s="1"/>
      <c r="H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>
      <c r="A6" s="5" t="s">
        <v>5</v>
      </c>
      <c r="B6" s="6">
        <f>COUNTA('JIRA Backlog'!$A$2:$A$44)</f>
        <v>43</v>
      </c>
      <c r="C6" s="4"/>
      <c r="D6" s="7" t="s">
        <v>7</v>
      </c>
      <c r="E6" s="7">
        <f>COUNTIF('JIRA Backlog'!$B$2:$B$44,D6)</f>
        <v>7</v>
      </c>
      <c r="F6" s="7">
        <f>COUNTIFS('JIRA Backlog'!$B$2:$B$44,D6,'JIRA Backlog'!$M$2:$M$44,"MVP")</f>
        <v>6</v>
      </c>
      <c r="G6" s="1"/>
      <c r="H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>
      <c r="A7" s="5" t="s">
        <v>6</v>
      </c>
      <c r="B7" s="6">
        <f>COUNTIF('JIRA Backlog'!$M$2:$M$44,"MVP")</f>
        <v>32</v>
      </c>
      <c r="C7" s="4"/>
      <c r="D7" s="7" t="s">
        <v>8</v>
      </c>
      <c r="E7" s="7">
        <f>COUNTIF('JIRA Backlog'!$B$2:$B$44,D7)</f>
        <v>10</v>
      </c>
      <c r="F7" s="7">
        <f>COUNTIFS('JIRA Backlog'!$B$2:$B$44,D7,'JIRA Backlog'!$M$2:$M$44,"MVP")</f>
        <v>9</v>
      </c>
      <c r="G7" s="1"/>
      <c r="H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>
      <c r="A8" s="5" t="s">
        <v>9</v>
      </c>
      <c r="B8" s="6">
        <f>COUNTIF('JIRA Backlog'!$M$2:$M$44,"Post-MVP")</f>
        <v>11</v>
      </c>
      <c r="C8" s="4"/>
      <c r="D8" s="7" t="s">
        <v>10</v>
      </c>
      <c r="E8" s="7">
        <f>COUNTIF('JIRA Backlog'!$B$2:$B$44,D8)</f>
        <v>10</v>
      </c>
      <c r="F8" s="7">
        <f>COUNTIFS('JIRA Backlog'!$B$2:$B$44,D8,'JIRA Backlog'!$M$2:$M$44,"MVP")</f>
        <v>7</v>
      </c>
      <c r="G8" s="1"/>
      <c r="H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>
      <c r="A9" s="5" t="s">
        <v>11</v>
      </c>
      <c r="B9" s="6">
        <f>COUNTIF('JIRA Backlog'!$G$2:$G$44,"P0")</f>
        <v>32</v>
      </c>
      <c r="C9" s="4"/>
      <c r="D9" s="7" t="s">
        <v>12</v>
      </c>
      <c r="E9" s="7">
        <f>COUNTIF('JIRA Backlog'!$B$2:$B$44,D9)</f>
        <v>9</v>
      </c>
      <c r="F9" s="7">
        <f>COUNTIFS('JIRA Backlog'!$B$2:$B$44,D9,'JIRA Backlog'!$M$2:$M$44,"MVP")</f>
        <v>5</v>
      </c>
      <c r="G9" s="1"/>
      <c r="H9" s="1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>
      <c r="A10" s="5" t="s">
        <v>13</v>
      </c>
      <c r="B10" s="6">
        <f>COUNTIF('JIRA Backlog'!$G$2:$G$44,"P1")</f>
        <v>10</v>
      </c>
      <c r="C10" s="4"/>
      <c r="D10" s="7" t="s">
        <v>14</v>
      </c>
      <c r="E10" s="7">
        <f>COUNTIF('JIRA Backlog'!$B$2:$B$44,D10)</f>
        <v>7</v>
      </c>
      <c r="F10" s="7">
        <f>COUNTIFS('JIRA Backlog'!$B$2:$B$44,D10,'JIRA Backlog'!$M$2:$M$44,"MVP")</f>
        <v>5</v>
      </c>
      <c r="G10" s="1"/>
      <c r="H10" s="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>
      <c r="A11" s="5" t="s">
        <v>15</v>
      </c>
      <c r="B11" s="6">
        <f>COUNTIF('JIRA Backlog'!$G$2:$G$44,"P2")</f>
        <v>1</v>
      </c>
      <c r="C11" s="4"/>
      <c r="D11" s="4"/>
      <c r="E11" s="4"/>
      <c r="F11" s="4"/>
      <c r="G11" s="1"/>
      <c r="H11" s="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>
      <c r="A12" s="5" t="s">
        <v>16</v>
      </c>
      <c r="B12" s="6">
        <f ca="1">COUNTA(_xludf.UNIQUE('JIRA Backlog'!$B$2:$B$50))</f>
        <v>1</v>
      </c>
      <c r="C12" s="4"/>
      <c r="D12" s="4"/>
      <c r="E12" s="4"/>
      <c r="F12" s="4"/>
      <c r="G12" s="1"/>
      <c r="H12" s="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>
      <c r="A13" s="4"/>
      <c r="B13" s="4"/>
      <c r="C13" s="4"/>
      <c r="D13" s="4"/>
      <c r="E13" s="4"/>
      <c r="F13" s="4"/>
      <c r="G13" s="1"/>
      <c r="H13" s="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>
      <c r="A14" s="4"/>
      <c r="B14" s="4"/>
      <c r="C14" s="4"/>
      <c r="D14" s="4"/>
      <c r="E14" s="4"/>
      <c r="F14" s="4"/>
      <c r="G14" s="1"/>
      <c r="H14" s="1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>
      <c r="A15" s="3" t="s">
        <v>4</v>
      </c>
      <c r="B15" s="3" t="s">
        <v>17</v>
      </c>
      <c r="C15" s="3" t="s">
        <v>18</v>
      </c>
      <c r="D15" s="3" t="s">
        <v>19</v>
      </c>
      <c r="E15" s="3" t="s">
        <v>20</v>
      </c>
      <c r="F15" s="4"/>
      <c r="G15" s="1"/>
      <c r="H15" s="1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>
      <c r="A16" s="4" t="s">
        <v>7</v>
      </c>
      <c r="B16" s="4">
        <f>COUNTIFS('JIRA Backlog'!$B$2:$B$44,A16,'JIRA Backlog'!$G$2:$G$44,"P0")</f>
        <v>6</v>
      </c>
      <c r="C16" s="4">
        <f>COUNTIFS('JIRA Backlog'!$B$2:$B$44,A16,'JIRA Backlog'!$G$2:$G$44,"P1")</f>
        <v>1</v>
      </c>
      <c r="D16" s="4">
        <f>COUNTIFS('JIRA Backlog'!$B$2:$B$44,A16,'JIRA Backlog'!$G$2:$G$44,"P2")</f>
        <v>0</v>
      </c>
      <c r="E16" s="8">
        <f>IFERROR(COUNTIFS('JIRA Backlog'!$B$2:$B$44,A16,'JIRA Backlog'!$M$2:$M$44,"MVP")/COUNTIF('JIRA Backlog'!$B$2:$B$44,A16),0)</f>
        <v>0.8571428571428571</v>
      </c>
      <c r="F16" s="4"/>
      <c r="G16" s="1"/>
      <c r="H16" s="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>
      <c r="A17" s="4" t="s">
        <v>8</v>
      </c>
      <c r="B17" s="4">
        <f>COUNTIFS('JIRA Backlog'!$B$2:$B$44,A17,'JIRA Backlog'!$G$2:$G$44,"P0")</f>
        <v>9</v>
      </c>
      <c r="C17" s="4">
        <f>COUNTIFS('JIRA Backlog'!$B$2:$B$44,A17,'JIRA Backlog'!$G$2:$G$44,"P1")</f>
        <v>1</v>
      </c>
      <c r="D17" s="4">
        <f>COUNTIFS('JIRA Backlog'!$B$2:$B$44,A17,'JIRA Backlog'!$G$2:$G$44,"P2")</f>
        <v>0</v>
      </c>
      <c r="E17" s="8">
        <f>IFERROR(COUNTIFS('JIRA Backlog'!$B$2:$B$44,A17,'JIRA Backlog'!$M$2:$M$44,"MVP")/COUNTIF('JIRA Backlog'!$B$2:$B$44,A17),0)</f>
        <v>0.9</v>
      </c>
      <c r="F17" s="4"/>
      <c r="G17" s="1"/>
      <c r="H17" s="1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>
      <c r="A18" s="4" t="s">
        <v>10</v>
      </c>
      <c r="B18" s="4">
        <f>COUNTIFS('JIRA Backlog'!$B$2:$B$44,A18,'JIRA Backlog'!$G$2:$G$44,"P0")</f>
        <v>7</v>
      </c>
      <c r="C18" s="4">
        <f>COUNTIFS('JIRA Backlog'!$B$2:$B$44,A18,'JIRA Backlog'!$G$2:$G$44,"P1")</f>
        <v>3</v>
      </c>
      <c r="D18" s="4">
        <f>COUNTIFS('JIRA Backlog'!$B$2:$B$44,A18,'JIRA Backlog'!$G$2:$G$44,"P2")</f>
        <v>0</v>
      </c>
      <c r="E18" s="8">
        <f>IFERROR(COUNTIFS('JIRA Backlog'!$B$2:$B$44,A18,'JIRA Backlog'!$M$2:$M$44,"MVP")/COUNTIF('JIRA Backlog'!$B$2:$B$44,A18),0)</f>
        <v>0.7</v>
      </c>
      <c r="F18" s="4"/>
      <c r="G18" s="1"/>
      <c r="H18" s="1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>
      <c r="A19" s="4" t="s">
        <v>12</v>
      </c>
      <c r="B19" s="4">
        <f>COUNTIFS('JIRA Backlog'!$B$2:$B$44,A19,'JIRA Backlog'!$G$2:$G$44,"P0")</f>
        <v>5</v>
      </c>
      <c r="C19" s="4">
        <f>COUNTIFS('JIRA Backlog'!$B$2:$B$44,A19,'JIRA Backlog'!$G$2:$G$44,"P1")</f>
        <v>3</v>
      </c>
      <c r="D19" s="4">
        <f>COUNTIFS('JIRA Backlog'!$B$2:$B$44,A19,'JIRA Backlog'!$G$2:$G$44,"P2")</f>
        <v>1</v>
      </c>
      <c r="E19" s="8">
        <f>IFERROR(COUNTIFS('JIRA Backlog'!$B$2:$B$44,A19,'JIRA Backlog'!$M$2:$M$44,"MVP")/COUNTIF('JIRA Backlog'!$B$2:$B$44,A19),0)</f>
        <v>0.55555555555555558</v>
      </c>
      <c r="F19" s="4"/>
      <c r="G19" s="1"/>
      <c r="H19" s="1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>
      <c r="A20" s="4" t="s">
        <v>14</v>
      </c>
      <c r="B20" s="4">
        <f>COUNTIFS('JIRA Backlog'!$B$2:$B$44,A20,'JIRA Backlog'!$G$2:$G$44,"P0")</f>
        <v>5</v>
      </c>
      <c r="C20" s="4">
        <f>COUNTIFS('JIRA Backlog'!$B$2:$B$44,A20,'JIRA Backlog'!$G$2:$G$44,"P1")</f>
        <v>2</v>
      </c>
      <c r="D20" s="4">
        <f>COUNTIFS('JIRA Backlog'!$B$2:$B$44,A20,'JIRA Backlog'!$G$2:$G$44,"P2")</f>
        <v>0</v>
      </c>
      <c r="E20" s="8">
        <f>IFERROR(COUNTIFS('JIRA Backlog'!$B$2:$B$44,A20,'JIRA Backlog'!$M$2:$M$44,"MVP")/COUNTIF('JIRA Backlog'!$B$2:$B$44,A20),0)</f>
        <v>0.7142857142857143</v>
      </c>
      <c r="F20" s="4"/>
      <c r="G20" s="1"/>
      <c r="H20" s="1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>
      <c r="A21" s="4"/>
      <c r="B21" s="4"/>
      <c r="C21" s="4"/>
      <c r="D21" s="4"/>
      <c r="E21" s="4"/>
      <c r="F21" s="4"/>
      <c r="G21" s="1"/>
      <c r="H21" s="1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>
      <c r="A22" s="4"/>
      <c r="B22" s="4"/>
      <c r="C22" s="4"/>
      <c r="D22" s="4"/>
      <c r="E22" s="4"/>
      <c r="F22" s="4"/>
      <c r="G22" s="1"/>
      <c r="H22" s="1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H1"/>
    <mergeCell ref="A2:H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topLeftCell="A15" workbookViewId="0"/>
  </sheetViews>
  <sheetFormatPr baseColWidth="10" defaultColWidth="8.83203125" defaultRowHeight="14"/>
  <cols>
    <col min="1" max="1" width="11" customWidth="1"/>
    <col min="2" max="2" width="21" customWidth="1"/>
    <col min="3" max="3" width="20" customWidth="1"/>
    <col min="4" max="4" width="36" customWidth="1"/>
    <col min="5" max="5" width="46" customWidth="1"/>
    <col min="6" max="6" width="50" customWidth="1"/>
    <col min="7" max="7" width="10" customWidth="1"/>
    <col min="8" max="8" width="19" customWidth="1"/>
    <col min="9" max="9" width="22" customWidth="1"/>
    <col min="10" max="11" width="28" customWidth="1"/>
    <col min="12" max="12" width="13" customWidth="1"/>
    <col min="13" max="13" width="12" customWidth="1"/>
    <col min="14" max="14" width="32" customWidth="1"/>
    <col min="15" max="15" width="30" customWidth="1"/>
  </cols>
  <sheetData>
    <row r="1" spans="1:26" ht="40" customHeight="1">
      <c r="A1" s="3" t="s">
        <v>21</v>
      </c>
      <c r="B1" s="3" t="s">
        <v>4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6" customHeight="1">
      <c r="A2" s="1" t="s">
        <v>35</v>
      </c>
      <c r="B2" s="1" t="s">
        <v>7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17</v>
      </c>
      <c r="H2" s="1" t="s">
        <v>40</v>
      </c>
      <c r="I2" s="1" t="s">
        <v>41</v>
      </c>
      <c r="J2" s="1" t="s">
        <v>42</v>
      </c>
      <c r="K2" s="1" t="s">
        <v>43</v>
      </c>
      <c r="L2" s="1" t="s">
        <v>44</v>
      </c>
      <c r="M2" s="1" t="s">
        <v>45</v>
      </c>
      <c r="N2" s="1" t="s">
        <v>46</v>
      </c>
      <c r="O2" s="1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6" customHeight="1">
      <c r="A3" s="1" t="s">
        <v>47</v>
      </c>
      <c r="B3" s="1" t="s">
        <v>7</v>
      </c>
      <c r="C3" s="1" t="s">
        <v>48</v>
      </c>
      <c r="D3" s="1" t="s">
        <v>49</v>
      </c>
      <c r="E3" s="1" t="s">
        <v>50</v>
      </c>
      <c r="F3" s="1" t="s">
        <v>51</v>
      </c>
      <c r="G3" s="1" t="s">
        <v>17</v>
      </c>
      <c r="H3" s="1" t="s">
        <v>40</v>
      </c>
      <c r="I3" s="1" t="s">
        <v>41</v>
      </c>
      <c r="J3" s="1" t="s">
        <v>35</v>
      </c>
      <c r="K3" s="1" t="s">
        <v>52</v>
      </c>
      <c r="L3" s="1" t="s">
        <v>44</v>
      </c>
      <c r="M3" s="1" t="s">
        <v>45</v>
      </c>
      <c r="N3" s="1" t="s">
        <v>53</v>
      </c>
      <c r="O3" s="1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6" customHeight="1">
      <c r="A4" s="1" t="s">
        <v>54</v>
      </c>
      <c r="B4" s="1" t="s">
        <v>7</v>
      </c>
      <c r="C4" s="1" t="s">
        <v>55</v>
      </c>
      <c r="D4" s="1" t="s">
        <v>56</v>
      </c>
      <c r="E4" s="1" t="s">
        <v>57</v>
      </c>
      <c r="F4" s="1" t="s">
        <v>58</v>
      </c>
      <c r="G4" s="1" t="s">
        <v>17</v>
      </c>
      <c r="H4" s="1" t="s">
        <v>40</v>
      </c>
      <c r="I4" s="1" t="s">
        <v>41</v>
      </c>
      <c r="J4" s="1" t="s">
        <v>47</v>
      </c>
      <c r="K4" s="1" t="s">
        <v>59</v>
      </c>
      <c r="L4" s="1" t="s">
        <v>60</v>
      </c>
      <c r="M4" s="1" t="s">
        <v>45</v>
      </c>
      <c r="N4" s="1" t="s">
        <v>61</v>
      </c>
      <c r="O4" s="1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6" customHeight="1">
      <c r="A5" s="1" t="s">
        <v>62</v>
      </c>
      <c r="B5" s="1" t="s">
        <v>7</v>
      </c>
      <c r="C5" s="1" t="s">
        <v>63</v>
      </c>
      <c r="D5" s="1" t="s">
        <v>64</v>
      </c>
      <c r="E5" s="1" t="s">
        <v>65</v>
      </c>
      <c r="F5" s="1" t="s">
        <v>66</v>
      </c>
      <c r="G5" s="1" t="s">
        <v>17</v>
      </c>
      <c r="H5" s="1" t="s">
        <v>40</v>
      </c>
      <c r="I5" s="1" t="s">
        <v>41</v>
      </c>
      <c r="J5" s="1" t="s">
        <v>47</v>
      </c>
      <c r="K5" s="1" t="s">
        <v>67</v>
      </c>
      <c r="L5" s="1" t="s">
        <v>60</v>
      </c>
      <c r="M5" s="1" t="s">
        <v>45</v>
      </c>
      <c r="N5" s="1" t="s">
        <v>68</v>
      </c>
      <c r="O5" s="1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6" customHeight="1">
      <c r="A6" s="1" t="s">
        <v>69</v>
      </c>
      <c r="B6" s="1" t="s">
        <v>7</v>
      </c>
      <c r="C6" s="1" t="s">
        <v>70</v>
      </c>
      <c r="D6" s="1" t="s">
        <v>71</v>
      </c>
      <c r="E6" s="1" t="s">
        <v>72</v>
      </c>
      <c r="F6" s="1" t="s">
        <v>73</v>
      </c>
      <c r="G6" s="1" t="s">
        <v>18</v>
      </c>
      <c r="H6" s="1" t="s">
        <v>74</v>
      </c>
      <c r="I6" s="1" t="s">
        <v>41</v>
      </c>
      <c r="J6" s="1" t="s">
        <v>47</v>
      </c>
      <c r="K6" s="1" t="s">
        <v>75</v>
      </c>
      <c r="L6" s="1" t="s">
        <v>60</v>
      </c>
      <c r="M6" s="1" t="s">
        <v>76</v>
      </c>
      <c r="N6" s="1" t="s">
        <v>77</v>
      </c>
      <c r="O6" s="1" t="s">
        <v>78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6" customHeight="1">
      <c r="A7" s="1" t="s">
        <v>79</v>
      </c>
      <c r="B7" s="1" t="s">
        <v>7</v>
      </c>
      <c r="C7" s="1" t="s">
        <v>80</v>
      </c>
      <c r="D7" s="1" t="s">
        <v>81</v>
      </c>
      <c r="E7" s="1" t="s">
        <v>82</v>
      </c>
      <c r="F7" s="1" t="s">
        <v>83</v>
      </c>
      <c r="G7" s="1" t="s">
        <v>17</v>
      </c>
      <c r="H7" s="1" t="s">
        <v>40</v>
      </c>
      <c r="I7" s="1" t="s">
        <v>41</v>
      </c>
      <c r="J7" s="1" t="s">
        <v>84</v>
      </c>
      <c r="K7" s="1" t="s">
        <v>85</v>
      </c>
      <c r="L7" s="1" t="s">
        <v>60</v>
      </c>
      <c r="M7" s="1" t="s">
        <v>45</v>
      </c>
      <c r="N7" s="1" t="s">
        <v>86</v>
      </c>
      <c r="O7" s="1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6" customHeight="1">
      <c r="A8" s="1" t="s">
        <v>87</v>
      </c>
      <c r="B8" s="1" t="s">
        <v>7</v>
      </c>
      <c r="C8" s="1" t="s">
        <v>88</v>
      </c>
      <c r="D8" s="1" t="s">
        <v>89</v>
      </c>
      <c r="E8" s="1" t="s">
        <v>90</v>
      </c>
      <c r="F8" s="1" t="s">
        <v>91</v>
      </c>
      <c r="G8" s="1" t="s">
        <v>17</v>
      </c>
      <c r="H8" s="1" t="s">
        <v>40</v>
      </c>
      <c r="I8" s="1" t="s">
        <v>92</v>
      </c>
      <c r="J8" s="1" t="s">
        <v>93</v>
      </c>
      <c r="K8" s="1" t="s">
        <v>94</v>
      </c>
      <c r="L8" s="1" t="s">
        <v>60</v>
      </c>
      <c r="M8" s="1" t="s">
        <v>45</v>
      </c>
      <c r="N8" s="1" t="s">
        <v>95</v>
      </c>
      <c r="O8" s="1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6" customHeight="1">
      <c r="A9" s="1" t="s">
        <v>96</v>
      </c>
      <c r="B9" s="1" t="s">
        <v>8</v>
      </c>
      <c r="C9" s="1" t="s">
        <v>97</v>
      </c>
      <c r="D9" s="1" t="s">
        <v>98</v>
      </c>
      <c r="E9" s="1" t="s">
        <v>99</v>
      </c>
      <c r="F9" s="1" t="s">
        <v>100</v>
      </c>
      <c r="G9" s="1" t="s">
        <v>17</v>
      </c>
      <c r="H9" s="1" t="s">
        <v>40</v>
      </c>
      <c r="I9" s="1" t="s">
        <v>41</v>
      </c>
      <c r="J9" s="1" t="s">
        <v>35</v>
      </c>
      <c r="K9" s="1" t="s">
        <v>101</v>
      </c>
      <c r="L9" s="1" t="s">
        <v>60</v>
      </c>
      <c r="M9" s="1" t="s">
        <v>45</v>
      </c>
      <c r="N9" s="1" t="s">
        <v>102</v>
      </c>
      <c r="O9" s="1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96" customHeight="1">
      <c r="A10" s="1" t="s">
        <v>103</v>
      </c>
      <c r="B10" s="1" t="s">
        <v>8</v>
      </c>
      <c r="C10" s="1" t="s">
        <v>104</v>
      </c>
      <c r="D10" s="1" t="s">
        <v>105</v>
      </c>
      <c r="E10" s="1" t="s">
        <v>106</v>
      </c>
      <c r="F10" s="1" t="s">
        <v>107</v>
      </c>
      <c r="G10" s="1" t="s">
        <v>17</v>
      </c>
      <c r="H10" s="1" t="s">
        <v>40</v>
      </c>
      <c r="I10" s="1" t="s">
        <v>41</v>
      </c>
      <c r="J10" s="1" t="s">
        <v>96</v>
      </c>
      <c r="K10" s="1" t="s">
        <v>108</v>
      </c>
      <c r="L10" s="1" t="s">
        <v>60</v>
      </c>
      <c r="M10" s="1" t="s">
        <v>45</v>
      </c>
      <c r="N10" s="1" t="s">
        <v>109</v>
      </c>
      <c r="O10" s="1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96" customHeight="1">
      <c r="A11" s="1" t="s">
        <v>110</v>
      </c>
      <c r="B11" s="1" t="s">
        <v>8</v>
      </c>
      <c r="C11" s="1" t="s">
        <v>97</v>
      </c>
      <c r="D11" s="1" t="s">
        <v>111</v>
      </c>
      <c r="E11" s="1" t="s">
        <v>112</v>
      </c>
      <c r="F11" s="1" t="s">
        <v>113</v>
      </c>
      <c r="G11" s="1" t="s">
        <v>17</v>
      </c>
      <c r="H11" s="1" t="s">
        <v>40</v>
      </c>
      <c r="I11" s="1" t="s">
        <v>41</v>
      </c>
      <c r="J11" s="1" t="s">
        <v>114</v>
      </c>
      <c r="K11" s="1" t="s">
        <v>115</v>
      </c>
      <c r="L11" s="1" t="s">
        <v>116</v>
      </c>
      <c r="M11" s="1" t="s">
        <v>45</v>
      </c>
      <c r="N11" s="1" t="s">
        <v>117</v>
      </c>
      <c r="O11" s="1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96" customHeight="1">
      <c r="A12" s="1" t="s">
        <v>118</v>
      </c>
      <c r="B12" s="1" t="s">
        <v>8</v>
      </c>
      <c r="C12" s="1" t="s">
        <v>119</v>
      </c>
      <c r="D12" s="1" t="s">
        <v>120</v>
      </c>
      <c r="E12" s="1" t="s">
        <v>121</v>
      </c>
      <c r="F12" s="1" t="s">
        <v>122</v>
      </c>
      <c r="G12" s="1" t="s">
        <v>17</v>
      </c>
      <c r="H12" s="1" t="s">
        <v>40</v>
      </c>
      <c r="I12" s="1" t="s">
        <v>41</v>
      </c>
      <c r="J12" s="1" t="s">
        <v>110</v>
      </c>
      <c r="K12" s="1" t="s">
        <v>123</v>
      </c>
      <c r="L12" s="1" t="s">
        <v>116</v>
      </c>
      <c r="M12" s="1" t="s">
        <v>45</v>
      </c>
      <c r="N12" s="1" t="s">
        <v>124</v>
      </c>
      <c r="O12" s="1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96" customHeight="1">
      <c r="A13" s="1" t="s">
        <v>125</v>
      </c>
      <c r="B13" s="1" t="s">
        <v>8</v>
      </c>
      <c r="C13" s="1" t="s">
        <v>126</v>
      </c>
      <c r="D13" s="1" t="s">
        <v>127</v>
      </c>
      <c r="E13" s="1" t="s">
        <v>128</v>
      </c>
      <c r="F13" s="1" t="s">
        <v>129</v>
      </c>
      <c r="G13" s="1" t="s">
        <v>17</v>
      </c>
      <c r="H13" s="1" t="s">
        <v>40</v>
      </c>
      <c r="I13" s="1" t="s">
        <v>41</v>
      </c>
      <c r="J13" s="1" t="s">
        <v>118</v>
      </c>
      <c r="K13" s="1" t="s">
        <v>130</v>
      </c>
      <c r="L13" s="1" t="s">
        <v>116</v>
      </c>
      <c r="M13" s="1" t="s">
        <v>45</v>
      </c>
      <c r="N13" s="1" t="s">
        <v>131</v>
      </c>
      <c r="O13" s="1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96" customHeight="1">
      <c r="A14" s="1" t="s">
        <v>132</v>
      </c>
      <c r="B14" s="1" t="s">
        <v>8</v>
      </c>
      <c r="C14" s="1" t="s">
        <v>133</v>
      </c>
      <c r="D14" s="1" t="s">
        <v>134</v>
      </c>
      <c r="E14" s="1" t="s">
        <v>135</v>
      </c>
      <c r="F14" s="1" t="s">
        <v>136</v>
      </c>
      <c r="G14" s="1" t="s">
        <v>17</v>
      </c>
      <c r="H14" s="1" t="s">
        <v>40</v>
      </c>
      <c r="I14" s="1" t="s">
        <v>41</v>
      </c>
      <c r="J14" s="1" t="s">
        <v>125</v>
      </c>
      <c r="K14" s="1" t="s">
        <v>137</v>
      </c>
      <c r="L14" s="1" t="s">
        <v>116</v>
      </c>
      <c r="M14" s="1" t="s">
        <v>45</v>
      </c>
      <c r="N14" s="1" t="s">
        <v>138</v>
      </c>
      <c r="O14" s="1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96" customHeight="1">
      <c r="A15" s="1" t="s">
        <v>139</v>
      </c>
      <c r="B15" s="1" t="s">
        <v>8</v>
      </c>
      <c r="C15" s="1" t="s">
        <v>140</v>
      </c>
      <c r="D15" s="1" t="s">
        <v>141</v>
      </c>
      <c r="E15" s="1" t="s">
        <v>142</v>
      </c>
      <c r="F15" s="1" t="s">
        <v>143</v>
      </c>
      <c r="G15" s="1" t="s">
        <v>17</v>
      </c>
      <c r="H15" s="1" t="s">
        <v>40</v>
      </c>
      <c r="I15" s="1" t="s">
        <v>41</v>
      </c>
      <c r="J15" s="1" t="s">
        <v>132</v>
      </c>
      <c r="K15" s="1" t="s">
        <v>144</v>
      </c>
      <c r="L15" s="1" t="s">
        <v>116</v>
      </c>
      <c r="M15" s="1" t="s">
        <v>45</v>
      </c>
      <c r="N15" s="1" t="s">
        <v>145</v>
      </c>
      <c r="O15" s="1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96" customHeight="1">
      <c r="A16" s="1" t="s">
        <v>146</v>
      </c>
      <c r="B16" s="1" t="s">
        <v>8</v>
      </c>
      <c r="C16" s="1" t="s">
        <v>147</v>
      </c>
      <c r="D16" s="1" t="s">
        <v>148</v>
      </c>
      <c r="E16" s="1" t="s">
        <v>149</v>
      </c>
      <c r="F16" s="1" t="s">
        <v>150</v>
      </c>
      <c r="G16" s="1" t="s">
        <v>17</v>
      </c>
      <c r="H16" s="1" t="s">
        <v>40</v>
      </c>
      <c r="I16" s="1" t="s">
        <v>41</v>
      </c>
      <c r="J16" s="1" t="s">
        <v>151</v>
      </c>
      <c r="K16" s="1" t="s">
        <v>152</v>
      </c>
      <c r="L16" s="1" t="s">
        <v>153</v>
      </c>
      <c r="M16" s="1" t="s">
        <v>45</v>
      </c>
      <c r="N16" s="1" t="s">
        <v>154</v>
      </c>
      <c r="O16" s="1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96" customHeight="1">
      <c r="A17" s="1" t="s">
        <v>155</v>
      </c>
      <c r="B17" s="1" t="s">
        <v>8</v>
      </c>
      <c r="C17" s="1" t="s">
        <v>156</v>
      </c>
      <c r="D17" s="1" t="s">
        <v>157</v>
      </c>
      <c r="E17" s="1" t="s">
        <v>158</v>
      </c>
      <c r="F17" s="1" t="s">
        <v>159</v>
      </c>
      <c r="G17" s="1" t="s">
        <v>18</v>
      </c>
      <c r="H17" s="1" t="s">
        <v>74</v>
      </c>
      <c r="I17" s="1" t="s">
        <v>41</v>
      </c>
      <c r="J17" s="1" t="s">
        <v>160</v>
      </c>
      <c r="K17" s="1" t="s">
        <v>161</v>
      </c>
      <c r="L17" s="1" t="s">
        <v>153</v>
      </c>
      <c r="M17" s="1" t="s">
        <v>76</v>
      </c>
      <c r="N17" s="1" t="s">
        <v>162</v>
      </c>
      <c r="O17" s="1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96" customHeight="1">
      <c r="A18" s="1" t="s">
        <v>163</v>
      </c>
      <c r="B18" s="1" t="s">
        <v>8</v>
      </c>
      <c r="C18" s="1" t="s">
        <v>164</v>
      </c>
      <c r="D18" s="1" t="s">
        <v>165</v>
      </c>
      <c r="E18" s="1" t="s">
        <v>166</v>
      </c>
      <c r="F18" s="1" t="s">
        <v>167</v>
      </c>
      <c r="G18" s="1" t="s">
        <v>17</v>
      </c>
      <c r="H18" s="1" t="s">
        <v>40</v>
      </c>
      <c r="I18" s="1" t="s">
        <v>41</v>
      </c>
      <c r="J18" s="1" t="s">
        <v>146</v>
      </c>
      <c r="K18" s="1" t="s">
        <v>168</v>
      </c>
      <c r="L18" s="1" t="s">
        <v>153</v>
      </c>
      <c r="M18" s="1" t="s">
        <v>45</v>
      </c>
      <c r="N18" s="1" t="s">
        <v>169</v>
      </c>
      <c r="O18" s="1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96" customHeight="1">
      <c r="A19" s="1" t="s">
        <v>170</v>
      </c>
      <c r="B19" s="1" t="s">
        <v>10</v>
      </c>
      <c r="C19" s="1" t="s">
        <v>171</v>
      </c>
      <c r="D19" s="1" t="s">
        <v>172</v>
      </c>
      <c r="E19" s="1" t="s">
        <v>173</v>
      </c>
      <c r="F19" s="1" t="s">
        <v>174</v>
      </c>
      <c r="G19" s="1" t="s">
        <v>17</v>
      </c>
      <c r="H19" s="1" t="s">
        <v>40</v>
      </c>
      <c r="I19" s="1" t="s">
        <v>175</v>
      </c>
      <c r="J19" s="1" t="s">
        <v>87</v>
      </c>
      <c r="K19" s="1" t="s">
        <v>176</v>
      </c>
      <c r="L19" s="1" t="s">
        <v>60</v>
      </c>
      <c r="M19" s="1" t="s">
        <v>45</v>
      </c>
      <c r="N19" s="1" t="s">
        <v>177</v>
      </c>
      <c r="O19" s="1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96" customHeight="1">
      <c r="A20" s="1" t="s">
        <v>178</v>
      </c>
      <c r="B20" s="1" t="s">
        <v>10</v>
      </c>
      <c r="C20" s="1" t="s">
        <v>171</v>
      </c>
      <c r="D20" s="1" t="s">
        <v>179</v>
      </c>
      <c r="E20" s="1" t="s">
        <v>180</v>
      </c>
      <c r="F20" s="1" t="s">
        <v>181</v>
      </c>
      <c r="G20" s="1" t="s">
        <v>17</v>
      </c>
      <c r="H20" s="1" t="s">
        <v>40</v>
      </c>
      <c r="I20" s="1" t="s">
        <v>175</v>
      </c>
      <c r="J20" s="1" t="s">
        <v>170</v>
      </c>
      <c r="K20" s="1" t="s">
        <v>182</v>
      </c>
      <c r="L20" s="1" t="s">
        <v>116</v>
      </c>
      <c r="M20" s="1" t="s">
        <v>45</v>
      </c>
      <c r="N20" s="1" t="s">
        <v>183</v>
      </c>
      <c r="O20" s="1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96" customHeight="1">
      <c r="A21" s="1" t="s">
        <v>184</v>
      </c>
      <c r="B21" s="1" t="s">
        <v>10</v>
      </c>
      <c r="C21" s="1" t="s">
        <v>185</v>
      </c>
      <c r="D21" s="1" t="s">
        <v>186</v>
      </c>
      <c r="E21" s="1" t="s">
        <v>187</v>
      </c>
      <c r="F21" s="1" t="s">
        <v>188</v>
      </c>
      <c r="G21" s="1" t="s">
        <v>18</v>
      </c>
      <c r="H21" s="1" t="s">
        <v>74</v>
      </c>
      <c r="I21" s="1" t="s">
        <v>175</v>
      </c>
      <c r="J21" s="1" t="s">
        <v>178</v>
      </c>
      <c r="K21" s="1" t="s">
        <v>189</v>
      </c>
      <c r="L21" s="1" t="s">
        <v>153</v>
      </c>
      <c r="M21" s="1" t="s">
        <v>76</v>
      </c>
      <c r="N21" s="1" t="s">
        <v>190</v>
      </c>
      <c r="O21" s="1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96" customHeight="1">
      <c r="A22" s="1" t="s">
        <v>191</v>
      </c>
      <c r="B22" s="1" t="s">
        <v>10</v>
      </c>
      <c r="C22" s="1" t="s">
        <v>192</v>
      </c>
      <c r="D22" s="1" t="s">
        <v>193</v>
      </c>
      <c r="E22" s="1" t="s">
        <v>194</v>
      </c>
      <c r="F22" s="1" t="s">
        <v>195</v>
      </c>
      <c r="G22" s="1" t="s">
        <v>17</v>
      </c>
      <c r="H22" s="1" t="s">
        <v>40</v>
      </c>
      <c r="I22" s="1" t="s">
        <v>175</v>
      </c>
      <c r="J22" s="1" t="s">
        <v>170</v>
      </c>
      <c r="K22" s="1" t="s">
        <v>196</v>
      </c>
      <c r="L22" s="1" t="s">
        <v>116</v>
      </c>
      <c r="M22" s="1" t="s">
        <v>45</v>
      </c>
      <c r="N22" s="1" t="s">
        <v>197</v>
      </c>
      <c r="O22" s="1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96" customHeight="1">
      <c r="A23" s="1" t="s">
        <v>198</v>
      </c>
      <c r="B23" s="1" t="s">
        <v>10</v>
      </c>
      <c r="C23" s="1" t="s">
        <v>199</v>
      </c>
      <c r="D23" s="1" t="s">
        <v>200</v>
      </c>
      <c r="E23" s="1" t="s">
        <v>201</v>
      </c>
      <c r="F23" s="1" t="s">
        <v>202</v>
      </c>
      <c r="G23" s="1" t="s">
        <v>17</v>
      </c>
      <c r="H23" s="1" t="s">
        <v>40</v>
      </c>
      <c r="I23" s="1" t="s">
        <v>175</v>
      </c>
      <c r="J23" s="1" t="s">
        <v>96</v>
      </c>
      <c r="K23" s="1" t="s">
        <v>203</v>
      </c>
      <c r="L23" s="1" t="s">
        <v>116</v>
      </c>
      <c r="M23" s="1" t="s">
        <v>45</v>
      </c>
      <c r="N23" s="1" t="s">
        <v>204</v>
      </c>
      <c r="O23" s="1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96" customHeight="1">
      <c r="A24" s="1" t="s">
        <v>205</v>
      </c>
      <c r="B24" s="1" t="s">
        <v>10</v>
      </c>
      <c r="C24" s="1" t="s">
        <v>206</v>
      </c>
      <c r="D24" s="1" t="s">
        <v>207</v>
      </c>
      <c r="E24" s="1" t="s">
        <v>208</v>
      </c>
      <c r="F24" s="1" t="s">
        <v>209</v>
      </c>
      <c r="G24" s="1" t="s">
        <v>17</v>
      </c>
      <c r="H24" s="1" t="s">
        <v>40</v>
      </c>
      <c r="I24" s="1" t="s">
        <v>175</v>
      </c>
      <c r="J24" s="1" t="s">
        <v>210</v>
      </c>
      <c r="K24" s="1" t="s">
        <v>211</v>
      </c>
      <c r="L24" s="1" t="s">
        <v>153</v>
      </c>
      <c r="M24" s="1" t="s">
        <v>45</v>
      </c>
      <c r="N24" s="1" t="s">
        <v>212</v>
      </c>
      <c r="O24" s="1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96" customHeight="1">
      <c r="A25" s="1" t="s">
        <v>213</v>
      </c>
      <c r="B25" s="1" t="s">
        <v>10</v>
      </c>
      <c r="C25" s="1" t="s">
        <v>206</v>
      </c>
      <c r="D25" s="1" t="s">
        <v>214</v>
      </c>
      <c r="E25" s="1" t="s">
        <v>215</v>
      </c>
      <c r="F25" s="1" t="s">
        <v>216</v>
      </c>
      <c r="G25" s="1" t="s">
        <v>17</v>
      </c>
      <c r="H25" s="1" t="s">
        <v>40</v>
      </c>
      <c r="I25" s="1" t="s">
        <v>175</v>
      </c>
      <c r="J25" s="1" t="s">
        <v>217</v>
      </c>
      <c r="K25" s="1" t="s">
        <v>218</v>
      </c>
      <c r="L25" s="1" t="s">
        <v>153</v>
      </c>
      <c r="M25" s="1" t="s">
        <v>45</v>
      </c>
      <c r="N25" s="1" t="s">
        <v>219</v>
      </c>
      <c r="O25" s="1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96" customHeight="1">
      <c r="A26" s="1" t="s">
        <v>220</v>
      </c>
      <c r="B26" s="1" t="s">
        <v>10</v>
      </c>
      <c r="C26" s="1" t="s">
        <v>221</v>
      </c>
      <c r="D26" s="1" t="s">
        <v>222</v>
      </c>
      <c r="E26" s="1" t="s">
        <v>223</v>
      </c>
      <c r="F26" s="1" t="s">
        <v>224</v>
      </c>
      <c r="G26" s="1" t="s">
        <v>17</v>
      </c>
      <c r="H26" s="1" t="s">
        <v>40</v>
      </c>
      <c r="I26" s="1" t="s">
        <v>175</v>
      </c>
      <c r="J26" s="1" t="s">
        <v>225</v>
      </c>
      <c r="K26" s="1" t="s">
        <v>226</v>
      </c>
      <c r="L26" s="1" t="s">
        <v>153</v>
      </c>
      <c r="M26" s="1" t="s">
        <v>45</v>
      </c>
      <c r="N26" s="1" t="s">
        <v>227</v>
      </c>
      <c r="O26" s="1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96" customHeight="1">
      <c r="A27" s="1" t="s">
        <v>228</v>
      </c>
      <c r="B27" s="1" t="s">
        <v>10</v>
      </c>
      <c r="C27" s="1" t="s">
        <v>229</v>
      </c>
      <c r="D27" s="1" t="s">
        <v>230</v>
      </c>
      <c r="E27" s="1" t="s">
        <v>231</v>
      </c>
      <c r="F27" s="1" t="s">
        <v>232</v>
      </c>
      <c r="G27" s="1" t="s">
        <v>18</v>
      </c>
      <c r="H27" s="1" t="s">
        <v>74</v>
      </c>
      <c r="I27" s="1" t="s">
        <v>233</v>
      </c>
      <c r="J27" s="1" t="s">
        <v>234</v>
      </c>
      <c r="K27" s="1" t="s">
        <v>235</v>
      </c>
      <c r="L27" s="1" t="s">
        <v>236</v>
      </c>
      <c r="M27" s="1" t="s">
        <v>76</v>
      </c>
      <c r="N27" s="1" t="s">
        <v>237</v>
      </c>
      <c r="O27" s="1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96" customHeight="1">
      <c r="A28" s="1" t="s">
        <v>238</v>
      </c>
      <c r="B28" s="1" t="s">
        <v>10</v>
      </c>
      <c r="C28" s="1" t="s">
        <v>239</v>
      </c>
      <c r="D28" s="1" t="s">
        <v>240</v>
      </c>
      <c r="E28" s="1" t="s">
        <v>241</v>
      </c>
      <c r="F28" s="1" t="s">
        <v>242</v>
      </c>
      <c r="G28" s="1" t="s">
        <v>18</v>
      </c>
      <c r="H28" s="1" t="s">
        <v>74</v>
      </c>
      <c r="I28" s="1" t="s">
        <v>233</v>
      </c>
      <c r="J28" s="1" t="s">
        <v>243</v>
      </c>
      <c r="K28" s="1" t="s">
        <v>244</v>
      </c>
      <c r="L28" s="1" t="s">
        <v>236</v>
      </c>
      <c r="M28" s="1" t="s">
        <v>76</v>
      </c>
      <c r="N28" s="1" t="s">
        <v>245</v>
      </c>
      <c r="O28" s="1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96" customHeight="1">
      <c r="A29" s="1" t="s">
        <v>246</v>
      </c>
      <c r="B29" s="1" t="s">
        <v>12</v>
      </c>
      <c r="C29" s="1" t="s">
        <v>247</v>
      </c>
      <c r="D29" s="1" t="s">
        <v>248</v>
      </c>
      <c r="E29" s="1" t="s">
        <v>249</v>
      </c>
      <c r="F29" s="1" t="s">
        <v>250</v>
      </c>
      <c r="G29" s="1" t="s">
        <v>17</v>
      </c>
      <c r="H29" s="1" t="s">
        <v>40</v>
      </c>
      <c r="I29" s="1" t="s">
        <v>251</v>
      </c>
      <c r="J29" s="1" t="s">
        <v>205</v>
      </c>
      <c r="K29" s="1" t="s">
        <v>252</v>
      </c>
      <c r="L29" s="1" t="s">
        <v>153</v>
      </c>
      <c r="M29" s="1" t="s">
        <v>45</v>
      </c>
      <c r="N29" s="1" t="s">
        <v>253</v>
      </c>
      <c r="O29" s="1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96" customHeight="1">
      <c r="A30" s="1" t="s">
        <v>254</v>
      </c>
      <c r="B30" s="1" t="s">
        <v>12</v>
      </c>
      <c r="C30" s="1" t="s">
        <v>255</v>
      </c>
      <c r="D30" s="1" t="s">
        <v>256</v>
      </c>
      <c r="E30" s="1" t="s">
        <v>257</v>
      </c>
      <c r="F30" s="1" t="s">
        <v>258</v>
      </c>
      <c r="G30" s="1" t="s">
        <v>17</v>
      </c>
      <c r="H30" s="1" t="s">
        <v>40</v>
      </c>
      <c r="I30" s="1" t="s">
        <v>251</v>
      </c>
      <c r="J30" s="1" t="s">
        <v>259</v>
      </c>
      <c r="K30" s="1" t="s">
        <v>260</v>
      </c>
      <c r="L30" s="1" t="s">
        <v>153</v>
      </c>
      <c r="M30" s="1" t="s">
        <v>45</v>
      </c>
      <c r="N30" s="1" t="s">
        <v>261</v>
      </c>
      <c r="O30" s="1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96" customHeight="1">
      <c r="A31" s="1" t="s">
        <v>262</v>
      </c>
      <c r="B31" s="1" t="s">
        <v>12</v>
      </c>
      <c r="C31" s="1" t="s">
        <v>255</v>
      </c>
      <c r="D31" s="1" t="s">
        <v>263</v>
      </c>
      <c r="E31" s="1" t="s">
        <v>264</v>
      </c>
      <c r="F31" s="1" t="s">
        <v>265</v>
      </c>
      <c r="G31" s="1" t="s">
        <v>17</v>
      </c>
      <c r="H31" s="1" t="s">
        <v>40</v>
      </c>
      <c r="I31" s="1" t="s">
        <v>251</v>
      </c>
      <c r="J31" s="1" t="s">
        <v>266</v>
      </c>
      <c r="K31" s="1" t="s">
        <v>267</v>
      </c>
      <c r="L31" s="1" t="s">
        <v>153</v>
      </c>
      <c r="M31" s="1" t="s">
        <v>45</v>
      </c>
      <c r="N31" s="1" t="s">
        <v>268</v>
      </c>
      <c r="O31" s="1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96" customHeight="1">
      <c r="A32" s="1" t="s">
        <v>269</v>
      </c>
      <c r="B32" s="1" t="s">
        <v>12</v>
      </c>
      <c r="C32" s="1" t="s">
        <v>270</v>
      </c>
      <c r="D32" s="1" t="s">
        <v>271</v>
      </c>
      <c r="E32" s="1" t="s">
        <v>272</v>
      </c>
      <c r="F32" s="1" t="s">
        <v>273</v>
      </c>
      <c r="G32" s="1" t="s">
        <v>17</v>
      </c>
      <c r="H32" s="1" t="s">
        <v>40</v>
      </c>
      <c r="I32" s="1" t="s">
        <v>251</v>
      </c>
      <c r="J32" s="1" t="s">
        <v>213</v>
      </c>
      <c r="K32" s="1" t="s">
        <v>274</v>
      </c>
      <c r="L32" s="1" t="s">
        <v>153</v>
      </c>
      <c r="M32" s="1" t="s">
        <v>45</v>
      </c>
      <c r="N32" s="1" t="s">
        <v>275</v>
      </c>
      <c r="O32" s="1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96" customHeight="1">
      <c r="A33" s="1" t="s">
        <v>276</v>
      </c>
      <c r="B33" s="1" t="s">
        <v>12</v>
      </c>
      <c r="C33" s="1" t="s">
        <v>277</v>
      </c>
      <c r="D33" s="1" t="s">
        <v>278</v>
      </c>
      <c r="E33" s="1" t="s">
        <v>279</v>
      </c>
      <c r="F33" s="1" t="s">
        <v>280</v>
      </c>
      <c r="G33" s="1" t="s">
        <v>17</v>
      </c>
      <c r="H33" s="1" t="s">
        <v>40</v>
      </c>
      <c r="I33" s="1" t="s">
        <v>251</v>
      </c>
      <c r="J33" s="1" t="s">
        <v>281</v>
      </c>
      <c r="K33" s="1" t="s">
        <v>282</v>
      </c>
      <c r="L33" s="1" t="s">
        <v>236</v>
      </c>
      <c r="M33" s="1" t="s">
        <v>45</v>
      </c>
      <c r="N33" s="1" t="s">
        <v>283</v>
      </c>
      <c r="O33" s="1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96" customHeight="1">
      <c r="A34" s="1" t="s">
        <v>284</v>
      </c>
      <c r="B34" s="1" t="s">
        <v>12</v>
      </c>
      <c r="C34" s="1" t="s">
        <v>285</v>
      </c>
      <c r="D34" s="1" t="s">
        <v>286</v>
      </c>
      <c r="E34" s="1" t="s">
        <v>287</v>
      </c>
      <c r="F34" s="1" t="s">
        <v>288</v>
      </c>
      <c r="G34" s="1" t="s">
        <v>18</v>
      </c>
      <c r="H34" s="1" t="s">
        <v>74</v>
      </c>
      <c r="I34" s="1" t="s">
        <v>251</v>
      </c>
      <c r="J34" s="1" t="s">
        <v>289</v>
      </c>
      <c r="K34" s="1" t="s">
        <v>290</v>
      </c>
      <c r="L34" s="1" t="s">
        <v>236</v>
      </c>
      <c r="M34" s="1" t="s">
        <v>76</v>
      </c>
      <c r="N34" s="1" t="s">
        <v>291</v>
      </c>
      <c r="O34" s="1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96" customHeight="1">
      <c r="A35" s="1" t="s">
        <v>292</v>
      </c>
      <c r="B35" s="1" t="s">
        <v>12</v>
      </c>
      <c r="C35" s="1" t="s">
        <v>293</v>
      </c>
      <c r="D35" s="1" t="s">
        <v>294</v>
      </c>
      <c r="E35" s="1" t="s">
        <v>295</v>
      </c>
      <c r="F35" s="1" t="s">
        <v>296</v>
      </c>
      <c r="G35" s="1" t="s">
        <v>18</v>
      </c>
      <c r="H35" s="1" t="s">
        <v>74</v>
      </c>
      <c r="I35" s="1" t="s">
        <v>251</v>
      </c>
      <c r="J35" s="1" t="s">
        <v>297</v>
      </c>
      <c r="K35" s="1" t="s">
        <v>298</v>
      </c>
      <c r="L35" s="1" t="s">
        <v>236</v>
      </c>
      <c r="M35" s="1" t="s">
        <v>76</v>
      </c>
      <c r="N35" s="1" t="s">
        <v>299</v>
      </c>
      <c r="O35" s="1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96" customHeight="1">
      <c r="A36" s="1" t="s">
        <v>300</v>
      </c>
      <c r="B36" s="1" t="s">
        <v>12</v>
      </c>
      <c r="C36" s="1" t="s">
        <v>301</v>
      </c>
      <c r="D36" s="1" t="s">
        <v>302</v>
      </c>
      <c r="E36" s="1" t="s">
        <v>303</v>
      </c>
      <c r="F36" s="1" t="s">
        <v>304</v>
      </c>
      <c r="G36" s="1" t="s">
        <v>18</v>
      </c>
      <c r="H36" s="1" t="s">
        <v>74</v>
      </c>
      <c r="I36" s="1" t="s">
        <v>251</v>
      </c>
      <c r="J36" s="1" t="s">
        <v>220</v>
      </c>
      <c r="K36" s="1" t="s">
        <v>305</v>
      </c>
      <c r="L36" s="1" t="s">
        <v>236</v>
      </c>
      <c r="M36" s="1" t="s">
        <v>76</v>
      </c>
      <c r="N36" s="1" t="s">
        <v>306</v>
      </c>
      <c r="O36" s="1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96" customHeight="1">
      <c r="A37" s="1" t="s">
        <v>307</v>
      </c>
      <c r="B37" s="1" t="s">
        <v>12</v>
      </c>
      <c r="C37" s="1" t="s">
        <v>308</v>
      </c>
      <c r="D37" s="1" t="s">
        <v>309</v>
      </c>
      <c r="E37" s="1" t="s">
        <v>310</v>
      </c>
      <c r="F37" s="1" t="s">
        <v>311</v>
      </c>
      <c r="G37" s="1" t="s">
        <v>19</v>
      </c>
      <c r="H37" s="1" t="s">
        <v>74</v>
      </c>
      <c r="I37" s="1" t="s">
        <v>251</v>
      </c>
      <c r="J37" s="1" t="s">
        <v>312</v>
      </c>
      <c r="K37" s="1" t="s">
        <v>313</v>
      </c>
      <c r="L37" s="1" t="s">
        <v>314</v>
      </c>
      <c r="M37" s="1" t="s">
        <v>76</v>
      </c>
      <c r="N37" s="1" t="s">
        <v>315</v>
      </c>
      <c r="O37" s="1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96" customHeight="1">
      <c r="A38" s="1" t="s">
        <v>316</v>
      </c>
      <c r="B38" s="1" t="s">
        <v>14</v>
      </c>
      <c r="C38" s="1" t="s">
        <v>317</v>
      </c>
      <c r="D38" s="1" t="s">
        <v>318</v>
      </c>
      <c r="E38" s="1" t="s">
        <v>319</v>
      </c>
      <c r="F38" s="1" t="s">
        <v>320</v>
      </c>
      <c r="G38" s="1" t="s">
        <v>17</v>
      </c>
      <c r="H38" s="1" t="s">
        <v>40</v>
      </c>
      <c r="I38" s="1" t="s">
        <v>92</v>
      </c>
      <c r="J38" s="1" t="s">
        <v>321</v>
      </c>
      <c r="K38" s="1" t="s">
        <v>322</v>
      </c>
      <c r="L38" s="1" t="s">
        <v>44</v>
      </c>
      <c r="M38" s="1" t="s">
        <v>45</v>
      </c>
      <c r="N38" s="1" t="s">
        <v>323</v>
      </c>
      <c r="O38" s="1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96" customHeight="1">
      <c r="A39" s="1" t="s">
        <v>324</v>
      </c>
      <c r="B39" s="1" t="s">
        <v>14</v>
      </c>
      <c r="C39" s="1" t="s">
        <v>325</v>
      </c>
      <c r="D39" s="1" t="s">
        <v>326</v>
      </c>
      <c r="E39" s="1" t="s">
        <v>327</v>
      </c>
      <c r="F39" s="1" t="s">
        <v>328</v>
      </c>
      <c r="G39" s="1" t="s">
        <v>17</v>
      </c>
      <c r="H39" s="1" t="s">
        <v>40</v>
      </c>
      <c r="I39" s="1" t="s">
        <v>92</v>
      </c>
      <c r="J39" s="1" t="s">
        <v>316</v>
      </c>
      <c r="K39" s="1" t="s">
        <v>329</v>
      </c>
      <c r="L39" s="1" t="s">
        <v>44</v>
      </c>
      <c r="M39" s="1" t="s">
        <v>45</v>
      </c>
      <c r="N39" s="1" t="s">
        <v>330</v>
      </c>
      <c r="O39" s="1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96" customHeight="1">
      <c r="A40" s="1" t="s">
        <v>331</v>
      </c>
      <c r="B40" s="1" t="s">
        <v>14</v>
      </c>
      <c r="C40" s="1" t="s">
        <v>332</v>
      </c>
      <c r="D40" s="1" t="s">
        <v>333</v>
      </c>
      <c r="E40" s="1" t="s">
        <v>334</v>
      </c>
      <c r="F40" s="1" t="s">
        <v>335</v>
      </c>
      <c r="G40" s="1" t="s">
        <v>17</v>
      </c>
      <c r="H40" s="1" t="s">
        <v>40</v>
      </c>
      <c r="I40" s="1" t="s">
        <v>92</v>
      </c>
      <c r="J40" s="1" t="s">
        <v>324</v>
      </c>
      <c r="K40" s="1" t="s">
        <v>336</v>
      </c>
      <c r="L40" s="1" t="s">
        <v>60</v>
      </c>
      <c r="M40" s="1" t="s">
        <v>45</v>
      </c>
      <c r="N40" s="1" t="s">
        <v>337</v>
      </c>
      <c r="O40" s="1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96" customHeight="1">
      <c r="A41" s="1" t="s">
        <v>338</v>
      </c>
      <c r="B41" s="1" t="s">
        <v>14</v>
      </c>
      <c r="C41" s="1" t="s">
        <v>339</v>
      </c>
      <c r="D41" s="1" t="s">
        <v>340</v>
      </c>
      <c r="E41" s="1" t="s">
        <v>341</v>
      </c>
      <c r="F41" s="1" t="s">
        <v>342</v>
      </c>
      <c r="G41" s="1" t="s">
        <v>17</v>
      </c>
      <c r="H41" s="1" t="s">
        <v>40</v>
      </c>
      <c r="I41" s="1" t="s">
        <v>92</v>
      </c>
      <c r="J41" s="1" t="s">
        <v>324</v>
      </c>
      <c r="K41" s="1" t="s">
        <v>343</v>
      </c>
      <c r="L41" s="1" t="s">
        <v>60</v>
      </c>
      <c r="M41" s="1" t="s">
        <v>45</v>
      </c>
      <c r="N41" s="1" t="s">
        <v>344</v>
      </c>
      <c r="O41" s="1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96" customHeight="1">
      <c r="A42" s="1" t="s">
        <v>345</v>
      </c>
      <c r="B42" s="1" t="s">
        <v>14</v>
      </c>
      <c r="C42" s="1" t="s">
        <v>346</v>
      </c>
      <c r="D42" s="1" t="s">
        <v>347</v>
      </c>
      <c r="E42" s="1" t="s">
        <v>348</v>
      </c>
      <c r="F42" s="1" t="s">
        <v>349</v>
      </c>
      <c r="G42" s="1" t="s">
        <v>17</v>
      </c>
      <c r="H42" s="1" t="s">
        <v>40</v>
      </c>
      <c r="I42" s="1" t="s">
        <v>92</v>
      </c>
      <c r="J42" s="1" t="s">
        <v>316</v>
      </c>
      <c r="K42" s="1" t="s">
        <v>350</v>
      </c>
      <c r="L42" s="1" t="s">
        <v>60</v>
      </c>
      <c r="M42" s="1" t="s">
        <v>45</v>
      </c>
      <c r="N42" s="1" t="s">
        <v>351</v>
      </c>
      <c r="O42" s="1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96" customHeight="1">
      <c r="A43" s="1" t="s">
        <v>352</v>
      </c>
      <c r="B43" s="1" t="s">
        <v>14</v>
      </c>
      <c r="C43" s="1" t="s">
        <v>353</v>
      </c>
      <c r="D43" s="1" t="s">
        <v>354</v>
      </c>
      <c r="E43" s="1" t="s">
        <v>355</v>
      </c>
      <c r="F43" s="1" t="s">
        <v>356</v>
      </c>
      <c r="G43" s="1" t="s">
        <v>18</v>
      </c>
      <c r="H43" s="1" t="s">
        <v>74</v>
      </c>
      <c r="I43" s="1" t="s">
        <v>357</v>
      </c>
      <c r="J43" s="1" t="s">
        <v>358</v>
      </c>
      <c r="K43" s="1" t="s">
        <v>359</v>
      </c>
      <c r="L43" s="1" t="s">
        <v>236</v>
      </c>
      <c r="M43" s="1" t="s">
        <v>76</v>
      </c>
      <c r="N43" s="1" t="s">
        <v>360</v>
      </c>
      <c r="O43" s="1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96" customHeight="1">
      <c r="A44" s="1" t="s">
        <v>361</v>
      </c>
      <c r="B44" s="1" t="s">
        <v>14</v>
      </c>
      <c r="C44" s="1" t="s">
        <v>362</v>
      </c>
      <c r="D44" s="1" t="s">
        <v>363</v>
      </c>
      <c r="E44" s="1" t="s">
        <v>364</v>
      </c>
      <c r="F44" s="1" t="s">
        <v>365</v>
      </c>
      <c r="G44" s="1" t="s">
        <v>18</v>
      </c>
      <c r="H44" s="1" t="s">
        <v>74</v>
      </c>
      <c r="I44" s="1" t="s">
        <v>92</v>
      </c>
      <c r="J44" s="1" t="s">
        <v>352</v>
      </c>
      <c r="K44" s="1" t="s">
        <v>366</v>
      </c>
      <c r="L44" s="1" t="s">
        <v>236</v>
      </c>
      <c r="M44" s="1" t="s">
        <v>76</v>
      </c>
      <c r="N44" s="1" t="s">
        <v>367</v>
      </c>
      <c r="O44" s="1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conditionalFormatting sqref="G2:G44">
    <cfRule type="expression" dxfId="5" priority="1">
      <formula>G2="P0"</formula>
    </cfRule>
    <cfRule type="expression" dxfId="4" priority="2">
      <formula>G2="P1"</formula>
    </cfRule>
    <cfRule type="expression" dxfId="3" priority="3">
      <formula>G2="P2"</formula>
    </cfRule>
  </conditionalFormatting>
  <conditionalFormatting sqref="H2:H44">
    <cfRule type="expression" dxfId="2" priority="4">
      <formula>H2="Done"</formula>
    </cfRule>
    <cfRule type="expression" dxfId="1" priority="5">
      <formula>H2="Blocked"</formula>
    </cfRule>
  </conditionalFormatting>
  <conditionalFormatting sqref="M2:M44">
    <cfRule type="expression" dxfId="0" priority="6">
      <formula>M2="MVP"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tabSelected="1" workbookViewId="0">
      <selection activeCell="E4" sqref="E4"/>
    </sheetView>
  </sheetViews>
  <sheetFormatPr baseColWidth="10" defaultColWidth="8.83203125" defaultRowHeight="14"/>
  <cols>
    <col min="1" max="1" width="24" customWidth="1"/>
    <col min="2" max="2" width="58" customWidth="1"/>
    <col min="3" max="3" width="70" customWidth="1"/>
  </cols>
  <sheetData>
    <row r="1" spans="1:26" ht="15">
      <c r="A1" s="9" t="s">
        <v>368</v>
      </c>
      <c r="B1" s="9" t="s">
        <v>369</v>
      </c>
      <c r="C1" s="9" t="s">
        <v>370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88" customHeight="1">
      <c r="A2" s="1" t="s">
        <v>371</v>
      </c>
      <c r="B2" s="1" t="s">
        <v>372</v>
      </c>
      <c r="C2" s="1" t="s">
        <v>373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88" customHeight="1">
      <c r="A3" s="1" t="s">
        <v>374</v>
      </c>
      <c r="B3" s="1" t="s">
        <v>375</v>
      </c>
      <c r="C3" s="1" t="s">
        <v>376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88" customHeight="1">
      <c r="A4" s="1" t="s">
        <v>377</v>
      </c>
      <c r="B4" s="1" t="s">
        <v>378</v>
      </c>
      <c r="C4" s="1" t="s">
        <v>379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88" customHeight="1">
      <c r="A5" s="1" t="s">
        <v>380</v>
      </c>
      <c r="B5" s="1" t="s">
        <v>381</v>
      </c>
      <c r="C5" s="1" t="s">
        <v>382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88" customHeight="1">
      <c r="A6" s="1" t="s">
        <v>383</v>
      </c>
      <c r="B6" s="1" t="s">
        <v>276</v>
      </c>
      <c r="C6" s="1" t="s">
        <v>384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88" customHeight="1">
      <c r="A7" s="1" t="s">
        <v>76</v>
      </c>
      <c r="B7" s="1" t="s">
        <v>385</v>
      </c>
      <c r="C7" s="1" t="s">
        <v>386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workbookViewId="0"/>
  </sheetViews>
  <sheetFormatPr baseColWidth="10" defaultColWidth="8.83203125" defaultRowHeight="14"/>
  <cols>
    <col min="1" max="1" width="30" customWidth="1"/>
    <col min="2" max="2" width="58" customWidth="1"/>
    <col min="3" max="4" width="24" customWidth="1"/>
    <col min="5" max="5" width="42" customWidth="1"/>
    <col min="6" max="6" width="13" customWidth="1"/>
  </cols>
  <sheetData>
    <row r="1" spans="1:26" ht="15">
      <c r="A1" s="9" t="s">
        <v>387</v>
      </c>
      <c r="B1" s="9" t="s">
        <v>388</v>
      </c>
      <c r="C1" s="9" t="s">
        <v>389</v>
      </c>
      <c r="D1" s="9" t="s">
        <v>390</v>
      </c>
      <c r="E1" s="9" t="s">
        <v>391</v>
      </c>
      <c r="F1" s="9" t="s">
        <v>32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72" customHeight="1">
      <c r="A2" s="1" t="s">
        <v>392</v>
      </c>
      <c r="B2" s="1" t="s">
        <v>393</v>
      </c>
      <c r="C2" s="1" t="s">
        <v>10</v>
      </c>
      <c r="D2" s="1" t="s">
        <v>394</v>
      </c>
      <c r="E2" s="1" t="s">
        <v>395</v>
      </c>
      <c r="F2" s="1" t="s">
        <v>45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72" customHeight="1">
      <c r="A3" s="1" t="s">
        <v>395</v>
      </c>
      <c r="B3" s="1" t="s">
        <v>396</v>
      </c>
      <c r="C3" s="1" t="s">
        <v>8</v>
      </c>
      <c r="D3" s="1" t="s">
        <v>103</v>
      </c>
      <c r="E3" s="1" t="s">
        <v>397</v>
      </c>
      <c r="F3" s="1" t="s">
        <v>45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72" customHeight="1">
      <c r="A4" s="1" t="s">
        <v>397</v>
      </c>
      <c r="B4" s="1" t="s">
        <v>398</v>
      </c>
      <c r="C4" s="1" t="s">
        <v>8</v>
      </c>
      <c r="D4" s="1" t="s">
        <v>399</v>
      </c>
      <c r="E4" s="1" t="s">
        <v>400</v>
      </c>
      <c r="F4" s="1" t="s">
        <v>45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72" customHeight="1">
      <c r="A5" s="1" t="s">
        <v>400</v>
      </c>
      <c r="B5" s="1" t="s">
        <v>401</v>
      </c>
      <c r="C5" s="1" t="s">
        <v>8</v>
      </c>
      <c r="D5" s="1" t="s">
        <v>118</v>
      </c>
      <c r="E5" s="1" t="s">
        <v>402</v>
      </c>
      <c r="F5" s="1" t="s">
        <v>45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72" customHeight="1">
      <c r="A6" s="1" t="s">
        <v>403</v>
      </c>
      <c r="B6" s="1" t="s">
        <v>404</v>
      </c>
      <c r="C6" s="1" t="s">
        <v>8</v>
      </c>
      <c r="D6" s="1" t="s">
        <v>125</v>
      </c>
      <c r="E6" s="1" t="s">
        <v>405</v>
      </c>
      <c r="F6" s="1" t="s">
        <v>45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72" customHeight="1">
      <c r="A7" s="1" t="s">
        <v>406</v>
      </c>
      <c r="B7" s="1" t="s">
        <v>407</v>
      </c>
      <c r="C7" s="1" t="s">
        <v>408</v>
      </c>
      <c r="D7" s="1" t="s">
        <v>409</v>
      </c>
      <c r="E7" s="1" t="s">
        <v>410</v>
      </c>
      <c r="F7" s="1" t="s">
        <v>45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72" customHeight="1">
      <c r="A8" s="1" t="s">
        <v>411</v>
      </c>
      <c r="B8" s="1" t="s">
        <v>412</v>
      </c>
      <c r="C8" s="1" t="s">
        <v>408</v>
      </c>
      <c r="D8" s="1" t="s">
        <v>409</v>
      </c>
      <c r="E8" s="1" t="s">
        <v>410</v>
      </c>
      <c r="F8" s="1" t="s">
        <v>45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72" customHeight="1">
      <c r="A9" s="1" t="s">
        <v>405</v>
      </c>
      <c r="B9" s="1" t="s">
        <v>413</v>
      </c>
      <c r="C9" s="1" t="s">
        <v>8</v>
      </c>
      <c r="D9" s="1" t="s">
        <v>132</v>
      </c>
      <c r="E9" s="1" t="s">
        <v>414</v>
      </c>
      <c r="F9" s="1" t="s">
        <v>45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72" customHeight="1">
      <c r="A10" s="1" t="s">
        <v>415</v>
      </c>
      <c r="B10" s="1" t="s">
        <v>416</v>
      </c>
      <c r="C10" s="1" t="s">
        <v>8</v>
      </c>
      <c r="D10" s="1" t="s">
        <v>139</v>
      </c>
      <c r="E10" s="1" t="s">
        <v>417</v>
      </c>
      <c r="F10" s="1" t="s">
        <v>45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72" customHeight="1">
      <c r="A11" s="1" t="s">
        <v>418</v>
      </c>
      <c r="B11" s="1" t="s">
        <v>419</v>
      </c>
      <c r="C11" s="1" t="s">
        <v>8</v>
      </c>
      <c r="D11" s="1" t="s">
        <v>146</v>
      </c>
      <c r="E11" s="1" t="s">
        <v>420</v>
      </c>
      <c r="F11" s="1" t="s">
        <v>45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72" customHeight="1">
      <c r="A12" s="1" t="s">
        <v>421</v>
      </c>
      <c r="B12" s="1" t="s">
        <v>422</v>
      </c>
      <c r="C12" s="1" t="s">
        <v>8</v>
      </c>
      <c r="D12" s="1" t="s">
        <v>163</v>
      </c>
      <c r="E12" s="1" t="s">
        <v>423</v>
      </c>
      <c r="F12" s="1" t="s">
        <v>45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72" customHeight="1">
      <c r="A13" s="1" t="s">
        <v>420</v>
      </c>
      <c r="B13" s="1" t="s">
        <v>424</v>
      </c>
      <c r="C13" s="1" t="s">
        <v>425</v>
      </c>
      <c r="D13" s="1" t="s">
        <v>426</v>
      </c>
      <c r="E13" s="1" t="s">
        <v>427</v>
      </c>
      <c r="F13" s="1" t="s">
        <v>45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72" customHeight="1">
      <c r="A14" s="1" t="s">
        <v>427</v>
      </c>
      <c r="B14" s="1" t="s">
        <v>428</v>
      </c>
      <c r="C14" s="1" t="s">
        <v>14</v>
      </c>
      <c r="D14" s="1" t="s">
        <v>429</v>
      </c>
      <c r="E14" s="1" t="s">
        <v>430</v>
      </c>
      <c r="F14" s="1" t="s">
        <v>45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72" customHeight="1">
      <c r="A15" s="1" t="s">
        <v>431</v>
      </c>
      <c r="B15" s="1" t="s">
        <v>432</v>
      </c>
      <c r="C15" s="1" t="s">
        <v>433</v>
      </c>
      <c r="D15" s="1" t="s">
        <v>434</v>
      </c>
      <c r="E15" s="1" t="s">
        <v>435</v>
      </c>
      <c r="F15" s="1" t="s">
        <v>76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72" customHeight="1">
      <c r="A16" s="1" t="s">
        <v>436</v>
      </c>
      <c r="B16" s="1" t="s">
        <v>437</v>
      </c>
      <c r="C16" s="1" t="s">
        <v>10</v>
      </c>
      <c r="D16" s="1" t="s">
        <v>238</v>
      </c>
      <c r="E16" s="1" t="s">
        <v>438</v>
      </c>
      <c r="F16" s="1" t="s">
        <v>76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workbookViewId="0"/>
  </sheetViews>
  <sheetFormatPr baseColWidth="10" defaultColWidth="8.83203125" defaultRowHeight="14"/>
  <cols>
    <col min="1" max="1" width="17.83203125" customWidth="1"/>
    <col min="2" max="2" width="6" customWidth="1"/>
    <col min="3" max="3" width="16" customWidth="1"/>
    <col min="4" max="4" width="17.1640625" customWidth="1"/>
    <col min="5" max="5" width="7.6640625" customWidth="1"/>
    <col min="6" max="6" width="6.1640625" customWidth="1"/>
  </cols>
  <sheetData>
    <row r="1" spans="1:26" ht="30">
      <c r="A1" s="3" t="s">
        <v>4</v>
      </c>
      <c r="B1" s="3" t="s">
        <v>26</v>
      </c>
      <c r="C1" s="3" t="s">
        <v>27</v>
      </c>
      <c r="D1" s="3" t="s">
        <v>28</v>
      </c>
      <c r="E1" s="3" t="s">
        <v>32</v>
      </c>
      <c r="F1" s="3" t="s">
        <v>31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">
      <c r="A2" s="1" t="s">
        <v>7</v>
      </c>
      <c r="B2" s="1" t="s">
        <v>17</v>
      </c>
      <c r="C2" s="1" t="s">
        <v>74</v>
      </c>
      <c r="D2" s="1" t="s">
        <v>92</v>
      </c>
      <c r="E2" s="1" t="s">
        <v>45</v>
      </c>
      <c r="F2" s="1" t="s">
        <v>44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0">
      <c r="A3" s="1" t="s">
        <v>8</v>
      </c>
      <c r="B3" s="1" t="s">
        <v>18</v>
      </c>
      <c r="C3" s="1" t="s">
        <v>40</v>
      </c>
      <c r="D3" s="1" t="s">
        <v>41</v>
      </c>
      <c r="E3" s="1" t="s">
        <v>76</v>
      </c>
      <c r="F3" s="1" t="s">
        <v>60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0">
      <c r="A4" s="1" t="s">
        <v>10</v>
      </c>
      <c r="B4" s="1" t="s">
        <v>19</v>
      </c>
      <c r="C4" s="1" t="s">
        <v>439</v>
      </c>
      <c r="D4" s="1" t="s">
        <v>175</v>
      </c>
      <c r="E4" s="1"/>
      <c r="F4" s="1" t="s">
        <v>116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0">
      <c r="A5" s="1" t="s">
        <v>12</v>
      </c>
      <c r="B5" s="1"/>
      <c r="C5" s="1" t="s">
        <v>440</v>
      </c>
      <c r="D5" s="1" t="s">
        <v>251</v>
      </c>
      <c r="E5" s="1"/>
      <c r="F5" s="1" t="s">
        <v>153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0">
      <c r="A6" s="1" t="s">
        <v>14</v>
      </c>
      <c r="B6" s="1"/>
      <c r="C6" s="1" t="s">
        <v>441</v>
      </c>
      <c r="D6" s="1" t="s">
        <v>233</v>
      </c>
      <c r="E6" s="1"/>
      <c r="F6" s="1" t="s">
        <v>236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>
      <c r="A7" s="1"/>
      <c r="B7" s="1"/>
      <c r="C7" s="1"/>
      <c r="D7" s="1" t="s">
        <v>357</v>
      </c>
      <c r="E7" s="1"/>
      <c r="F7" s="1" t="s">
        <v>314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>
      <c r="A8" s="1"/>
      <c r="B8" s="1"/>
      <c r="C8" s="1"/>
      <c r="D8" s="1"/>
      <c r="E8" s="1"/>
      <c r="F8" s="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>
      <c r="A9" s="1"/>
      <c r="B9" s="1"/>
      <c r="C9" s="1"/>
      <c r="D9" s="1"/>
      <c r="E9" s="1"/>
      <c r="F9" s="1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>
      <c r="A10" s="1"/>
      <c r="B10" s="1"/>
      <c r="C10" s="1"/>
      <c r="D10" s="1"/>
      <c r="E10" s="1"/>
      <c r="F10" s="1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>
      <c r="A11" s="1"/>
      <c r="B11" s="1"/>
      <c r="C11" s="1"/>
      <c r="D11" s="1"/>
      <c r="E11" s="1"/>
      <c r="F11" s="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>
      <c r="A12" s="1"/>
      <c r="B12" s="1"/>
      <c r="C12" s="1"/>
      <c r="D12" s="1"/>
      <c r="E12" s="1"/>
      <c r="F12" s="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>
      <c r="A13" s="1"/>
      <c r="B13" s="1"/>
      <c r="C13" s="1"/>
      <c r="D13" s="1"/>
      <c r="E13" s="1"/>
      <c r="F13" s="1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>
      <c r="A14" s="1"/>
      <c r="B14" s="1"/>
      <c r="C14" s="1"/>
      <c r="D14" s="1"/>
      <c r="E14" s="1"/>
      <c r="F14" s="1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>
      <c r="A15" s="1"/>
      <c r="B15" s="1"/>
      <c r="C15" s="1"/>
      <c r="D15" s="1"/>
      <c r="E15" s="1"/>
      <c r="F15" s="1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>
      <c r="A16" s="1"/>
      <c r="B16" s="1"/>
      <c r="C16" s="1"/>
      <c r="D16" s="1"/>
      <c r="E16" s="1"/>
      <c r="F16" s="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>
      <c r="A17" s="1"/>
      <c r="B17" s="1"/>
      <c r="C17" s="1"/>
      <c r="D17" s="1"/>
      <c r="E17" s="1"/>
      <c r="F17" s="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>
      <c r="A18" s="1"/>
      <c r="B18" s="1"/>
      <c r="C18" s="1"/>
      <c r="D18" s="1"/>
      <c r="E18" s="1"/>
      <c r="F18" s="1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>
      <c r="A19" s="1"/>
      <c r="B19" s="1"/>
      <c r="C19" s="1"/>
      <c r="D19" s="1"/>
      <c r="E19" s="1"/>
      <c r="F19" s="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>
      <c r="A20" s="1"/>
      <c r="B20" s="1"/>
      <c r="C20" s="1"/>
      <c r="D20" s="1"/>
      <c r="E20" s="1"/>
      <c r="F20" s="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JIRA Backlog</vt:lpstr>
      <vt:lpstr>MVP Scope</vt:lpstr>
      <vt:lpstr>Dagster Asset Map</vt:lpstr>
      <vt:lpstr>Category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OMSA Class</cp:lastModifiedBy>
  <dcterms:created xsi:type="dcterms:W3CDTF">2026-05-07T11:54:06Z</dcterms:created>
  <dcterms:modified xsi:type="dcterms:W3CDTF">2026-05-07T11:54:06Z</dcterms:modified>
</cp:coreProperties>
</file>