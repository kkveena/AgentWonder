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5b5a74740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3165fb0ce9494b4c"/>
    <x:sheet xmlns:r="http://schemas.openxmlformats.org/officeDocument/2006/relationships" name="JIRA_Epics" sheetId="2" r:id="Re30ac1fe908542fb"/>
    <x:sheet xmlns:r="http://schemas.openxmlformats.org/officeDocument/2006/relationships" name="JIRA_Stories" sheetId="3" r:id="R9c2f0ec1ed1a4ff1"/>
    <x:sheet xmlns:r="http://schemas.openxmlformats.org/officeDocument/2006/relationships" name="Roadmap_90D" sheetId="4" r:id="R6b7a22d6b25646d8"/>
    <x:sheet xmlns:r="http://schemas.openxmlformats.org/officeDocument/2006/relationships" name="RACI_Governance" sheetId="5" r:id="Rbf203948e86f493d"/>
    <x:sheet xmlns:r="http://schemas.openxmlformats.org/officeDocument/2006/relationships" name="Lists" sheetId="6" r:id="Rf643ff85f5aa4c23"/>
    <x:sheet xmlns:r="http://schemas.openxmlformats.org/officeDocument/2006/relationships" name="How_to_Use" sheetId="7" r:id="Rc5e1dee39cba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1F2937"/>
      <x:name val="Carlito"/>
    </x:font>
    <x:font>
      <x:b/>
      <x:sz val="13"/>
      <x:color rgb="FFFFFF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07C89"/>
      </x:patternFill>
    </x:fill>
    <x:fill>
      <x:patternFill patternType="solid">
        <x:fgColor rgb="0B1F4D"/>
      </x:patternFill>
    </x:fill>
    <x:fill>
      <x:patternFill patternType="solid">
        <x:fgColor rgb="EAF2F8"/>
      </x:patternFill>
    </x:fill>
    <x:fill>
      <x:patternFill patternType="solid">
        <x:fgColor rgb="E0F2F4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b1198e0a54435" /><Relationship Type="http://schemas.openxmlformats.org/officeDocument/2006/relationships/theme" Target="/xl/theme/theme1.xml" Id="R6606c53e0c3a4856" /><Relationship Type="http://schemas.openxmlformats.org/officeDocument/2006/relationships/sharedStrings" Target="/xl/sharedStrings.xml" Id="Re4af68068852442d" /><Relationship Type="http://schemas.openxmlformats.org/officeDocument/2006/relationships/worksheet" Target="/xl/worksheets/sheet1.xml" Id="R3165fb0ce9494b4c" /><Relationship Type="http://schemas.openxmlformats.org/officeDocument/2006/relationships/worksheet" Target="/xl/worksheets/sheet2.xml" Id="Re30ac1fe908542fb" /><Relationship Type="http://schemas.openxmlformats.org/officeDocument/2006/relationships/worksheet" Target="/xl/worksheets/sheet3.xml" Id="R9c2f0ec1ed1a4ff1" /><Relationship Type="http://schemas.openxmlformats.org/officeDocument/2006/relationships/worksheet" Target="/xl/worksheets/sheet4.xml" Id="R6b7a22d6b25646d8" /><Relationship Type="http://schemas.openxmlformats.org/officeDocument/2006/relationships/worksheet" Target="/xl/worksheets/sheet5.xml" Id="Rbf203948e86f493d" /><Relationship Type="http://schemas.openxmlformats.org/officeDocument/2006/relationships/worksheet" Target="/xl/worksheets/sheet6.xml" Id="Rf643ff85f5aa4c23" /><Relationship Type="http://schemas.openxmlformats.org/officeDocument/2006/relationships/worksheet" Target="/xl/worksheets/sheet7.xml" Id="Rc5e1dee39cba46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8ed8e8e8534f14" /><Relationship Type="http://schemas.openxmlformats.org/officeDocument/2006/relationships/chart" Target="/xl/drawings/charts/chart2.xml" Id="Rd4c6da6be8c04f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Story Count by Plane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'Executive_Summary'!$D$5:$D$9</c:f>
              <c:strCache>
                <c:ptCount val="0"/>
              </c:strCache>
            </c:strRef>
          </c:cat>
          <c:val>
            <c:numRef>
              <c:f>'Executive_Summary'!$E$5:$E$9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Story Count by Epic Stream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'Executive_Summary'!$G$5:$G$9</c:f>
              <c:strCache>
                <c:ptCount val="0"/>
              </c:strCache>
            </c:strRef>
          </c:cat>
          <c:val>
            <c:numRef>
              <c:f>'Executive_Summary'!$H$5:$H$9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8ed8e8e8534f14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6da6be8c04f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icsTable" displayName="EpicsTable" ref="A1:J18" headerRowCount="1">
  <x:tableColumns count="10">
    <x:tableColumn id="1" name="Epic Key"/>
    <x:tableColumn id="2" name="Epic Name"/>
    <x:tableColumn id="3" name="Plane"/>
    <x:tableColumn id="4" name="Epic Stream"/>
    <x:tableColumn id="5" name="Business Outcome"/>
    <x:tableColumn id="6" name="Scope"/>
    <x:tableColumn id="7" name="Acceptance / Done When"/>
    <x:tableColumn id="8" name="Priority"/>
    <x:tableColumn id="9" name="Target Window"/>
    <x:tableColumn id="10" name="Primary Owner"/>
  </x:tableColumns>
  <x:tableStyleInfo name="TableStyleMedium2" showRowStripes="1"/>
</x:table>
</file>

<file path=xl/tables/table2.xml><?xml version="1.0" encoding="utf-8"?>
<x:table xmlns:x="http://schemas.openxmlformats.org/spreadsheetml/2006/main" id="2" name="StoriesTable" displayName="StoriesTable" ref="A1:Q60" headerRowCount="1">
  <x:tableColumns count="17">
    <x:tableColumn id="1" name="Issue Key"/>
    <x:tableColumn id="2" name="Issue Type"/>
    <x:tableColumn id="3" name="Epic Link"/>
    <x:tableColumn id="4" name="Plane"/>
    <x:tableColumn id="5" name="Epic Stream"/>
    <x:tableColumn id="6" name="Summary"/>
    <x:tableColumn id="7" name="User Story"/>
    <x:tableColumn id="8" name="Description / Scope"/>
    <x:tableColumn id="9" name="Acceptance Criteria"/>
    <x:tableColumn id="10" name="Priority"/>
    <x:tableColumn id="11" name="Target Window"/>
    <x:tableColumn id="12" name="Story Points"/>
    <x:tableColumn id="13" name="Primary Owner Role"/>
    <x:tableColumn id="14" name="Dependencies"/>
    <x:tableColumn id="15" name="Labels"/>
    <x:tableColumn id="16" name="Status"/>
    <x:tableColumn id="17" name="Notes / Risks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1:F5" headerRowCount="1">
  <x:tableColumns count="6">
    <x:tableColumn id="1" name="Target Window"/>
    <x:tableColumn id="2" name="Theme"/>
    <x:tableColumn id="3" name="Representative Outcomes"/>
    <x:tableColumn id="4" name="Key Stories / Epics"/>
    <x:tableColumn id="5" name="Primary Planes"/>
    <x:tableColumn id="6" name="Exit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RACITable" displayName="RACITable" ref="A1:F12" headerRowCount="1">
  <x:tableColumns count="6">
    <x:tableColumn id="1" name="Lifecycle Stage"/>
    <x:tableColumn id="2" name="MOT AI/ML Hub"/>
    <x:tableColumn id="3" name="Domain Teams / Spokes"/>
    <x:tableColumn id="4" name="Enterprise Platform"/>
    <x:tableColumn id="5" name="Risk / Complianc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89dca380e84c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d0c7ab5cf444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3b1cb1a78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1dc3f89c6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afc029923e4af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26" hidden="0" customWidth="1"/>
    <x:col min="4" max="4" width="8" hidden="0" customWidth="1"/>
    <x:col min="5" max="5" width="8" hidden="0" customWidth="1"/>
    <x:col min="6" max="6" width="8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19" t="str">
        <x:v>EDGE - AgentOPS: JIRA Backlog Starter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6" t="str">
        <x:v>Generated 2026-05-06 | Initial backlog across User Plane, Development Plane, Control Plane, MCP and Agent Runtime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>
      <x:c r="A4" s="30" t="str">
        <x:v>Metric</x:v>
      </x:c>
      <x:c r="B4" s="30" t="str">
        <x:v>Count</x:v>
      </x:c>
      <x:c r="D4" s="30" t="str">
        <x:v>Stories by Plane</x:v>
      </x:c>
      <x:c r="E4" s="30" t="str">
        <x:v>Count</x:v>
      </x:c>
      <x:c r="G4" s="30" t="str">
        <x:v>Stories by Epic Stream</x:v>
      </x:c>
      <x:c r="H4" s="30" t="str">
        <x:v>Count</x:v>
      </x:c>
    </x:row>
    <x:row r="5">
      <x:c r="A5" t="str">
        <x:v>Total Stories</x:v>
      </x:c>
      <x:c r="B5" t="n">
        <x:f>COUNTA(JIRA_Stories!A2:A60)</x:f>
        <x:v>59</x:v>
      </x:c>
      <x:c r="D5" t="str">
        <x:v>User Plane</x:v>
      </x:c>
      <x:c r="E5" t="n">
        <x:f>COUNTIF(JIRA_Stories!D2:D60,D5)</x:f>
        <x:v>11</x:v>
      </x:c>
      <x:c r="G5" t="str">
        <x:v>UI</x:v>
      </x:c>
      <x:c r="H5" t="n">
        <x:f>COUNTIF(JIRA_Stories!E2:E60,G5)</x:f>
        <x:v>11</x:v>
      </x:c>
    </x:row>
    <x:row r="6">
      <x:c r="A6" t="str">
        <x:v>Total Epics</x:v>
      </x:c>
      <x:c r="B6" t="n">
        <x:f>COUNTA(JIRA_Epics!A2:A18)</x:f>
        <x:v>17</x:v>
      </x:c>
      <x:c r="D6" t="str">
        <x:v>Development Plane</x:v>
      </x:c>
      <x:c r="E6" t="n">
        <x:f>COUNTIF(JIRA_Stories!D2:D60,D6)</x:f>
        <x:v>18</x:v>
      </x:c>
      <x:c r="G6" t="str">
        <x:v>Backend</x:v>
      </x:c>
      <x:c r="H6" t="n">
        <x:f>COUNTIF(JIRA_Stories!E2:E60,G6)</x:f>
        <x:v>25</x:v>
      </x:c>
    </x:row>
    <x:row r="7">
      <x:c r="A7" t="str">
        <x:v>P0 Stories</x:v>
      </x:c>
      <x:c r="B7" t="n">
        <x:f>COUNTIF(JIRA_Stories!J2:J60,"P0 - Must Have")</x:f>
        <x:v>44</x:v>
      </x:c>
      <x:c r="D7" t="str">
        <x:v>Control Plane</x:v>
      </x:c>
      <x:c r="E7" t="n">
        <x:f>COUNTIF(JIRA_Stories!D2:D60,D7)</x:f>
        <x:v>16</x:v>
      </x:c>
      <x:c r="G7" t="str">
        <x:v>Data Science</x:v>
      </x:c>
      <x:c r="H7" t="n">
        <x:f>COUNTIF(JIRA_Stories!E2:E60,G7)</x:f>
        <x:v>9</x:v>
      </x:c>
    </x:row>
    <x:row r="8">
      <x:c r="A8" t="str">
        <x:v>MVP Window Stories</x:v>
      </x:c>
      <x:c r="B8" t="n">
        <x:f>COUNTIFS(JIRA_Stories!K2:K60,"&lt;&gt;Post-MVP")</x:f>
        <x:v>58</x:v>
      </x:c>
      <x:c r="D8" t="str">
        <x:v>MCP</x:v>
      </x:c>
      <x:c r="E8" t="n">
        <x:f>COUNTIF(JIRA_Stories!D2:D60,D8)</x:f>
        <x:v>6</x:v>
      </x:c>
      <x:c r="G8" t="str">
        <x:v>Data Science Exploration</x:v>
      </x:c>
      <x:c r="H8" t="n">
        <x:f>COUNTIF(JIRA_Stories!E2:E60,G8)</x:f>
        <x:v>7</x:v>
      </x:c>
    </x:row>
    <x:row r="9">
      <x:c r="A9" t="str">
        <x:v>Estimated Story Points</x:v>
      </x:c>
      <x:c r="B9" t="n">
        <x:f>SUM(JIRA_Stories!L2:L60)</x:f>
        <x:v>536</x:v>
      </x:c>
      <x:c r="D9" t="str">
        <x:v>Agent Runtime</x:v>
      </x:c>
      <x:c r="E9" t="n">
        <x:f>COUNTIF(JIRA_Stories!D2:D60,D9)</x:f>
        <x:v>8</x:v>
      </x:c>
      <x:c r="G9" t="str">
        <x:v>Collator</x:v>
      </x:c>
      <x:c r="H9" t="n">
        <x:f>COUNTIF(JIRA_Stories!E2:E60,G9)</x:f>
        <x:v>7</x:v>
      </x:c>
    </x:row>
    <x:row r="10">
      <x:c r="D10" t="str"/>
      <x:c r="E10" t="str"/>
      <x:c r="G10" t="str"/>
      <x:c r="H10" t="str"/>
    </x:row>
    <x:row r="12">
      <x:c r="A12" s="33" t="str">
        <x:v>90-Day Delivery Narrative</x:v>
      </x:c>
      <x:c r="B12" s="33"/>
      <x:c r="C12" s="33"/>
      <x:c r="D12" s="33"/>
      <x:c r="E12" s="33"/>
      <x:c r="F12" s="33"/>
      <x:c r="G12" s="33"/>
      <x:c r="H12" s="33"/>
      <x:c r="I12" s="33"/>
      <x:c r="J12" s="33"/>
    </x:row>
    <x:row r="13" ht="58" customHeight="1">
      <x:c r="A13" s="13" t="str">
        <x:v>Days 0-30 Foundations</x:v>
      </x:c>
      <x:c r="B13" s="13" t="str">
        <x:v>Publish Agent Class templates; stand up Agent Studio shell; define canonical agent model; standardize prompts/personas/policies; clarify Enterprise Platform SLA for model registry/runtime.</x:v>
      </x:c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/>
    </x:row>
    <x:row r="14" ht="58" customHeight="1">
      <x:c r="A14" s="13" t="str">
        <x:v>Days 30-60 Onboard &amp; Build</x:v>
      </x:c>
      <x:c r="B14" s="13" t="str">
        <x:v>Build Workflow UI/YAML round trip, tool/prompt/policy authoring, compiler/validator, MCP registry, promotion workflow, eval harness and collator packaging.</x:v>
      </x:c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/>
    </x:row>
    <x:row r="15" ht="58" customHeight="1">
      <x:c r="A15" s="13" t="str">
        <x:v>Days 60-90 First Promotion</x:v>
      </x:c>
      <x:c r="B15" s="13" t="str">
        <x:v>Run first ADK-based agent in pods behind full control plane: HITL, guardrails, observability, audit, evidence bundle and rollback.</x:v>
      </x:c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/>
    </x:row>
    <x:row r="16" ht="58" customHeight="1">
      <x:c r="A16" s="13" t="str">
        <x:v>Post-MVP</x:v>
      </x:c>
      <x:c r="B16" s="13" t="str">
        <x:v>Scale templates, add multi-agent patterns, harden throughput, expand MCP connectors and formalize quarterly portfolio review.</x:v>
      </x:c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/>
    </x:row>
    <x:row r="17" ht="58" customHeight="1"/>
    <x:row r="18" ht="58" customHeight="1">
      <x:c r="A18" s="33" t="str">
        <x:v>Key Operating-Model Decision Calls to Confirm</x:v>
      </x:c>
      <x:c r="B18" s="33"/>
      <x:c r="C18" s="33"/>
      <x:c r="D18" s="33"/>
      <x:c r="E18" s="33"/>
      <x:c r="F18" s="33"/>
      <x:c r="G18" s="33"/>
      <x:c r="H18" s="33"/>
      <x:c r="I18" s="33"/>
      <x:c r="J18" s="33"/>
    </x:row>
    <x:row r="19" ht="58" customHeight="1">
      <x:c r="A19" s="13" t="str">
        <x:v>1</x:v>
      </x:c>
      <x:c r="B19" s="13" t="str">
        <x:v>Where does the Dev Plane physically live?</x:v>
      </x:c>
      <x:c r="C19" s="13" t="str">
        <x:v>Recommendation: Enterprise Platform hosts a single Agent Studio instance with per-domain workspaces; otherwise duplication risk increases.</x:v>
      </x:c>
      <x:c r="D19" s="13" t="str"/>
      <x:c r="E19" s="13" t="str"/>
      <x:c r="F19" s="13" t="str"/>
      <x:c r="G19" s="13" t="str"/>
      <x:c r="H19" s="13" t="str"/>
      <x:c r="I19" s="13" t="str"/>
      <x:c r="J19" s="13" t="str"/>
    </x:row>
    <x:row r="20" ht="58" customHeight="1">
      <x:c r="A20" s="13" t="str">
        <x:v>2</x:v>
      </x:c>
      <x:c r="B20" s="13" t="str">
        <x:v>Who owns approved model registry and runtime?</x:v>
      </x:c>
      <x:c r="C20" s="13" t="str">
        <x:v>Recommendation: Enterprise Platform owns the foundation; MOT AI/ML negotiates SLA so Market OPS delivery can move quickly.</x:v>
      </x:c>
      <x:c r="D20" s="13" t="str"/>
      <x:c r="E20" s="13" t="str"/>
      <x:c r="F20" s="13" t="str"/>
      <x:c r="G20" s="13" t="str"/>
      <x:c r="H20" s="13" t="str"/>
      <x:c r="I20" s="13" t="str"/>
      <x:c r="J20" s="13" t="str"/>
    </x:row>
    <x:row r="21" ht="58" customHeight="1">
      <x:c r="A21" s="13" t="str">
        <x:v>3</x:v>
      </x:c>
      <x:c r="B21" s="13" t="str">
        <x:v>How are Spokes enabled without parallel builds?</x:v>
      </x:c>
      <x:c r="C21" s="13" t="str">
        <x:v>Recommendation: domain teams contribute tools, data, golden sets and reviewers; Hub provides paved-road templates, guardrails, observability and compliance evidence.</x:v>
      </x:c>
      <x:c r="D21" s="13" t="str"/>
      <x:c r="E21" s="13" t="str"/>
      <x:c r="F21" s="13" t="str"/>
      <x:c r="G21" s="13" t="str"/>
      <x:c r="H21" s="13" t="str"/>
      <x:c r="I21" s="13" t="str"/>
      <x:c r="J21" s="13" t="str"/>
    </x:row>
    <x:row r="22" ht="58" customHeight="1">
      <x:c r="A22" s="13" t="str">
        <x:v>4</x:v>
      </x:c>
      <x:c r="B22" s="13" t="str">
        <x:v>What is the first flagship agent?</x:v>
      </x:c>
      <x:c r="C22" s="13" t="str">
        <x:v>Recommendation: choose one high-value, low-to-medium risk Market OPS workflow with named SME reviewers and measurable eval set.</x:v>
      </x:c>
      <x:c r="D22" s="13" t="str"/>
      <x:c r="E22" s="13" t="str"/>
      <x:c r="F22" s="13" t="str"/>
      <x:c r="G22" s="13" t="str"/>
      <x:c r="H22" s="13" t="str"/>
      <x:c r="I22" s="13" t="str"/>
      <x:c r="J22" s="13" t="str"/>
    </x:row>
  </x:sheetData>
  <x:mergeCells>
    <x:mergeCell ref="A1:J1"/>
    <x:mergeCell ref="A2:J2"/>
    <x:mergeCell ref="A12:J12"/>
    <x:mergeCell ref="A18:J18"/>
  </x:mergeCells>
  <x:conditionalFormatting sqref="E5:E9">
    <x:cfRule type="dataBar" priority="1">
      <x:dataBar>
        <x:cfvo type="min"/>
        <x:cfvo type="max"/>
        <x:color rgb="007C89"/>
      </x:dataBar>
      <x:extLst>
        <x:ext xmlns:x14="http://schemas.microsoft.com/office/spreadsheetml/2009/9/main" uri="{B025F937-C7B1-47D3-B67F-A62EFF666E3E}">
          <x14:id>{F0A7666E-BD83-967E-F0F0-8123FCB4FF29}</x14:id>
        </x:ext>
      </x:extLst>
    </x:cfRule>
  </x:conditionalFormatting>
  <x:conditionalFormatting sqref="H5:H9">
    <x:cfRule type="dataBar" priority="2">
      <x:dataBar>
        <x:cfvo type="min"/>
        <x:cfvo type="max"/>
        <x:color rgb="0B1F4D"/>
      </x:dataBar>
      <x:extLst>
        <x:ext xmlns:x14="http://schemas.microsoft.com/office/spreadsheetml/2009/9/main" uri="{B025F937-C7B1-47D3-B67F-A62EFF666E3E}">
          <x14:id>{030638B9-7A50-BFB2-601A-94186087A936}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c89dca380e84c0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0A7666E-BD83-967E-F0F0-8123FCB4FF29}">
            <x14:dataBar gradient="1">
              <x14:cfvo type="min"/>
              <x14:cfvo type="max"/>
              <x14:fillColor rgb="007C89"/>
            </x14:dataBar>
          </x14:cfRule>
          <xm:sqref>E5:E9</xm:sqref>
        </x14:conditionalFormatting>
        <x14:conditionalFormatting>
          <x14:cfRule type="dataBar" priority="2" id="{030638B9-7A50-BFB2-601A-94186087A936}">
            <x14:dataBar gradient="1">
              <x14:cfvo type="min"/>
              <x14:cfvo type="max"/>
              <x14:fillColor rgb="0B1F4D"/>
            </x14:dataBar>
          </x14:cfRule>
          <xm:sqref>H5:H9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22" hidden="0" customWidth="1"/>
    <x:col min="5" max="5" width="42" hidden="0" customWidth="1"/>
    <x:col min="6" max="6" width="42" hidden="0" customWidth="1"/>
    <x:col min="7" max="7" width="42" hidden="0" customWidth="1"/>
    <x:col min="8" max="8" width="16" hidden="0" customWidth="1"/>
    <x:col min="9" max="9" width="24" hidden="0" customWidth="1"/>
    <x:col min="10" max="10" width="26" hidden="0" customWidth="1"/>
  </x:cols>
  <x:sheetData>
    <x:row r="1" ht="30" customHeight="1">
      <x:c r="A1" s="6" t="str">
        <x:v>Epic Key</x:v>
      </x:c>
      <x:c r="B1" s="6" t="str">
        <x:v>Epic Name</x:v>
      </x:c>
      <x:c r="C1" s="6" t="str">
        <x:v>Plane</x:v>
      </x:c>
      <x:c r="D1" s="6" t="str">
        <x:v>Epic Stream</x:v>
      </x:c>
      <x:c r="E1" s="6" t="str">
        <x:v>Business Outcome</x:v>
      </x:c>
      <x:c r="F1" s="6" t="str">
        <x:v>Scope</x:v>
      </x:c>
      <x:c r="G1" s="6" t="str">
        <x:v>Acceptance / Done When</x:v>
      </x:c>
      <x:c r="H1" s="6" t="str">
        <x:v>Priority</x:v>
      </x:c>
      <x:c r="I1" s="6" t="str">
        <x:v>Target Window</x:v>
      </x:c>
      <x:c r="J1" s="6" t="str">
        <x:v>Primary Owner</x:v>
      </x:c>
    </x:row>
    <x:row r="2" ht="74" customHeight="1">
      <x:c r="A2" s="13" t="str">
        <x:v>AGOPS-E01</x:v>
      </x:c>
      <x:c r="B2" s="13" t="str">
        <x:v>User Plane - Agent Studio Shell &amp; Navigation</x:v>
      </x:c>
      <x:c r="C2" s="13" t="str">
        <x:v>User Plane</x:v>
      </x:c>
      <x:c r="D2" s="13" t="str">
        <x:v>UI</x:v>
      </x:c>
      <x:c r="E2" s="13" t="str">
        <x:v>Give PMs and senior developers one place to define, discover, test and promote agentic workflows.</x:v>
      </x:c>
      <x:c r="F2" s="13" t="str">
        <x:v>Workspace shell, navigation, role-based landing page, creation flow, catalog entry points.</x:v>
      </x:c>
      <x:c r="G2" s="13" t="str">
        <x:v>PM can start a new agent from an approved template, find existing agents, and navigate to workflow/tool/prompt/policy screens.</x:v>
      </x:c>
      <x:c r="H2" s="13" t="str">
        <x:v>P0 - Must Have</x:v>
      </x:c>
      <x:c r="I2" s="13" t="str">
        <x:v>Days 0-30 Foundations</x:v>
      </x:c>
      <x:c r="J2" s="13" t="str">
        <x:v>Product Manager / UI Lead</x:v>
      </x:c>
    </x:row>
    <x:row r="3" ht="74" customHeight="1">
      <x:c r="A3" s="13" t="str">
        <x:v>AGOPS-E02</x:v>
      </x:c>
      <x:c r="B3" s="13" t="str">
        <x:v>User Plane - Workflow Builder &amp; YAML Round Trip</x:v>
      </x:c>
      <x:c r="C3" s="13" t="str">
        <x:v>User Plane</x:v>
      </x:c>
      <x:c r="D3" s="13" t="str">
        <x:v>UI</x:v>
      </x:c>
      <x:c r="E3" s="13" t="str">
        <x:v>Allow users to describe the agentic flow visually while preserving a YAML-first path for developers.</x:v>
      </x:c>
      <x:c r="F3" s="13" t="str">
        <x:v>Visual workflow canvas, node/edge editing, YAML import/export, validation feedback in UI.</x:v>
      </x:c>
      <x:c r="G3" s="13" t="str">
        <x:v>Workflow can be authored via UI or YAML and round-trips without losing semantic structure.</x:v>
      </x:c>
      <x:c r="H3" s="13" t="str">
        <x:v>P0 - Must Have</x:v>
      </x:c>
      <x:c r="I3" s="13" t="str">
        <x:v>Days 30-60 Onboard &amp; Build</x:v>
      </x:c>
      <x:c r="J3" s="13" t="str">
        <x:v>UI Lead / Senior Developer</x:v>
      </x:c>
    </x:row>
    <x:row r="4" ht="74" customHeight="1">
      <x:c r="A4" s="13" t="str">
        <x:v>AGOPS-E03</x:v>
      </x:c>
      <x:c r="B4" s="13" t="str">
        <x:v>User Plane - Tool, Prompt &amp; Policy Authoring</x:v>
      </x:c>
      <x:c r="C4" s="13" t="str">
        <x:v>User Plane</x:v>
      </x:c>
      <x:c r="D4" s="13" t="str">
        <x:v>UI</x:v>
      </x:c>
      <x:c r="E4" s="13" t="str">
        <x:v>Expose tool selection, prompt injection and maker-checker policy configuration in the User Plane.</x:v>
      </x:c>
      <x:c r="F4" s="13" t="str">
        <x:v>Tool selection screen, prompt/policy forms, versioning, reviewer routing.</x:v>
      </x:c>
      <x:c r="G4" s="13" t="str">
        <x:v>Agent definition includes tools, prompts and policy gates with validation before submission.</x:v>
      </x:c>
      <x:c r="H4" s="13" t="str">
        <x:v>P0 - Must Have</x:v>
      </x:c>
      <x:c r="I4" s="13" t="str">
        <x:v>Days 30-60 Onboard &amp; Build</x:v>
      </x:c>
      <x:c r="J4" s="13" t="str">
        <x:v>Product Manager / UI Lead</x:v>
      </x:c>
    </x:row>
    <x:row r="5" ht="74" customHeight="1">
      <x:c r="A5" s="13" t="str">
        <x:v>AGOPS-E04</x:v>
      </x:c>
      <x:c r="B5" s="13" t="str">
        <x:v>User Plane - HITL Reviewer &amp; Maker-Checker UX</x:v>
      </x:c>
      <x:c r="C5" s="13" t="str">
        <x:v>User Plane</x:v>
      </x:c>
      <x:c r="D5" s="13" t="str">
        <x:v>UI</x:v>
      </x:c>
      <x:c r="E5" s="13" t="str">
        <x:v>Separate platform-owned review system from domain-owned judgments.</x:v>
      </x:c>
      <x:c r="F5" s="13" t="str">
        <x:v>Reviewer queues, action detail screen, approval/reject/edit flows, escalations, audit view.</x:v>
      </x:c>
      <x:c r="G5" s="13" t="str">
        <x:v>Domain SME can approve/reject/edit actions and every review emits audit evidence.</x:v>
      </x:c>
      <x:c r="H5" s="13" t="str">
        <x:v>P0 - Must Have</x:v>
      </x:c>
      <x:c r="I5" s="13" t="str">
        <x:v>Days 60-90 First Promotion</x:v>
      </x:c>
      <x:c r="J5" s="13" t="str">
        <x:v>UI Lead / Risk Partner</x:v>
      </x:c>
    </x:row>
    <x:row r="6" ht="74" customHeight="1">
      <x:c r="A6" s="13" t="str">
        <x:v>AGOPS-E05</x:v>
      </x:c>
      <x:c r="B6" s="13" t="str">
        <x:v>Development Plane - Agent Definition API &amp; Registry</x:v>
      </x:c>
      <x:c r="C6" s="13" t="str">
        <x:v>Development Plane</x:v>
      </x:c>
      <x:c r="D6" s="13" t="str">
        <x:v>Backend</x:v>
      </x:c>
      <x:c r="E6" s="13" t="str">
        <x:v>Provide durable backend APIs and storage for agent definitions, agent classes, tools, prompts, policies and versions.</x:v>
      </x:c>
      <x:c r="F6" s="13" t="str">
        <x:v>Canonical data model, REST APIs, persistence, versioning, registry search.</x:v>
      </x:c>
      <x:c r="G6" s="13" t="str">
        <x:v>Definitions submitted from UI/YAML persist with immutable version history and are discoverable.</x:v>
      </x:c>
      <x:c r="H6" s="13" t="str">
        <x:v>P0 - Must Have</x:v>
      </x:c>
      <x:c r="I6" s="13" t="str">
        <x:v>Days 0-30 Foundations</x:v>
      </x:c>
      <x:c r="J6" s="13" t="str">
        <x:v>Backend Lead</x:v>
      </x:c>
    </x:row>
    <x:row r="7" ht="74" customHeight="1">
      <x:c r="A7" s="13" t="str">
        <x:v>AGOPS-E06</x:v>
      </x:c>
      <x:c r="B7" s="13" t="str">
        <x:v>Development Plane - Workflow Compiler &amp; Validator</x:v>
      </x:c>
      <x:c r="C7" s="13" t="str">
        <x:v>Development Plane</x:v>
      </x:c>
      <x:c r="D7" s="13" t="str">
        <x:v>Backend</x:v>
      </x:c>
      <x:c r="E7" s="13" t="str">
        <x:v>Compile User Plane workflow definitions into deployable agent runtime manifests.</x:v>
      </x:c>
      <x:c r="F7" s="13" t="str">
        <x:v>Schema validation, dependency resolution, linting, ADK manifest generation, errors surfaced to UI.</x:v>
      </x:c>
      <x:c r="G7" s="13" t="str">
        <x:v>Valid workflows compile; invalid workflows fail fast with actionable validation messages.</x:v>
      </x:c>
      <x:c r="H7" s="13" t="str">
        <x:v>P0 - Must Have</x:v>
      </x:c>
      <x:c r="I7" s="13" t="str">
        <x:v>Days 30-60 Onboard &amp; Build</x:v>
      </x:c>
      <x:c r="J7" s="13" t="str">
        <x:v>Backend Lead</x:v>
      </x:c>
    </x:row>
    <x:row r="8" ht="74" customHeight="1">
      <x:c r="A8" s="13" t="str">
        <x:v>AGOPS-E07</x:v>
      </x:c>
      <x:c r="B8" s="13" t="str">
        <x:v>Agent Runtime - Google ADK Pod Runner</x:v>
      </x:c>
      <x:c r="C8" s="13" t="str">
        <x:v>Agent Runtime</x:v>
      </x:c>
      <x:c r="D8" s="13" t="str">
        <x:v>Backend</x:v>
      </x:c>
      <x:c r="E8" s="13" t="str">
        <x:v>Run approved agents in pods using Google ADK-based runtime with standard model/tool/guardrail hooks.</x:v>
      </x:c>
      <x:c r="F8" s="13" t="str">
        <x:v>ADK runner service, pod deployment contract, run-state lifecycle, runtime adapters, smoke tests.</x:v>
      </x:c>
      <x:c r="G8" s="13" t="str">
        <x:v>A promoted MVP agent can run in a pod and invoke approved tools/model interfaces through the standard runtime.</x:v>
      </x:c>
      <x:c r="H8" s="13" t="str">
        <x:v>P0 - Must Have</x:v>
      </x:c>
      <x:c r="I8" s="13" t="str">
        <x:v>Days 60-90 First Promotion</x:v>
      </x:c>
      <x:c r="J8" s="13" t="str">
        <x:v>Platform Engineer / Backend Lead</x:v>
      </x:c>
    </x:row>
    <x:row r="9" ht="74" customHeight="1">
      <x:c r="A9" s="13" t="str">
        <x:v>AGOPS-E08</x:v>
      </x:c>
      <x:c r="B9" s="13" t="str">
        <x:v>Control Plane - Promotion, Audit, Access &amp; Environment Management</x:v>
      </x:c>
      <x:c r="C9" s="13" t="str">
        <x:v>Control Plane</x:v>
      </x:c>
      <x:c r="D9" s="13" t="str">
        <x:v>Backend</x:v>
      </x:c>
      <x:c r="E9" s="13" t="str">
        <x:v>Enforce safe release management and known ownership across dev/staging/prod.</x:v>
      </x:c>
      <x:c r="F9" s="13" t="str">
        <x:v>Promotion workflow, RBAC, audit log, service accounts, environment promotion gates.</x:v>
      </x:c>
      <x:c r="G9" s="13" t="str">
        <x:v>No production promotion occurs without owner, approvals, green evals, audit route and approved model/tool policy.</x:v>
      </x:c>
      <x:c r="H9" s="13" t="str">
        <x:v>P0 - Must Have</x:v>
      </x:c>
      <x:c r="I9" s="13" t="str">
        <x:v>Days 30-60 Onboard &amp; Build</x:v>
      </x:c>
      <x:c r="J9" s="13" t="str">
        <x:v>Backend Lead / Risk Partner</x:v>
      </x:c>
    </x:row>
    <x:row r="10" ht="74" customHeight="1">
      <x:c r="A10" s="13" t="str">
        <x:v>AGOPS-E09</x:v>
      </x:c>
      <x:c r="B10" s="13" t="str">
        <x:v>Control Plane - Observability, Guardrails &amp; Incident Ops</x:v>
      </x:c>
      <x:c r="C10" s="13" t="str">
        <x:v>Control Plane</x:v>
      </x:c>
      <x:c r="D10" s="13" t="str">
        <x:v>Backend</x:v>
      </x:c>
      <x:c r="E10" s="13" t="str">
        <x:v>Make runtime behavior measurable, reversible and governable.</x:v>
      </x:c>
      <x:c r="F10" s="13" t="str">
        <x:v>Telemetry, dashboards, guardrail APIs, drift/cost/latency alerts, incident hooks, rollback.</x:v>
      </x:c>
      <x:c r="G10" s="13" t="str">
        <x:v>Each run produces traceable observability and policy decisions; incidents can be triaged and rolled back.</x:v>
      </x:c>
      <x:c r="H10" s="13" t="str">
        <x:v>P0 - Must Have</x:v>
      </x:c>
      <x:c r="I10" s="13" t="str">
        <x:v>Days 60-90 First Promotion</x:v>
      </x:c>
      <x:c r="J10" s="13" t="str">
        <x:v>Backend Lead / Platform Engineer</x:v>
      </x:c>
    </x:row>
    <x:row r="11" ht="74" customHeight="1">
      <x:c r="A11" s="13" t="str">
        <x:v>AGOPS-E10</x:v>
      </x:c>
      <x:c r="B11" s="13" t="str">
        <x:v>MCP - Tool Registry &amp; Connector Integration</x:v>
      </x:c>
      <x:c r="C11" s="13" t="str">
        <x:v>MCP</x:v>
      </x:c>
      <x:c r="D11" s="13" t="str">
        <x:v>Backend</x:v>
      </x:c>
      <x:c r="E11" s="13" t="str">
        <x:v>Create a single tool registry and MCP-based discovery/execution surface to prevent duplicated tools.</x:v>
      </x:c>
      <x:c r="F11" s="13" t="str">
        <x:v>MCP registry, OpenAPI import, tool schema validation, sandbox, versioning, duplicate detection.</x:v>
      </x:c>
      <x:c r="G11" s="13" t="str">
        <x:v>Tool authors can register tools once; agents discover and call approved tools through MCP contracts.</x:v>
      </x:c>
      <x:c r="H11" s="13" t="str">
        <x:v>P0 - Must Have</x:v>
      </x:c>
      <x:c r="I11" s="13" t="str">
        <x:v>Days 30-60 Onboard &amp; Build</x:v>
      </x:c>
      <x:c r="J11" s="13" t="str">
        <x:v>Backend Lead / Enterprise Platform Partner</x:v>
      </x:c>
    </x:row>
    <x:row r="12" ht="74" customHeight="1">
      <x:c r="A12" s="13" t="str">
        <x:v>AGOPS-E11</x:v>
      </x:c>
      <x:c r="B12" s="13" t="str">
        <x:v>Collator - DS Artifact Contracts &amp; Runtime Packaging</x:v>
      </x:c>
      <x:c r="C12" s="13" t="str">
        <x:v>Development Plane</x:v>
      </x:c>
      <x:c r="D12" s="13" t="str">
        <x:v>Collator</x:v>
      </x:c>
      <x:c r="E12" s="13" t="str">
        <x:v>Bridge DS artifacts with backend runtime contracts so prompts, personas, evals and policies are deployable.</x:v>
      </x:c>
      <x:c r="F12" s="13" t="str">
        <x:v>Artifact manifest, contract validation, packaging service, release bundle composition.</x:v>
      </x:c>
      <x:c r="G12" s="13" t="str">
        <x:v>DS assets are packaged into versioned runtime bundles consumed by compiler/runtime.</x:v>
      </x:c>
      <x:c r="H12" s="13" t="str">
        <x:v>P0 - Must Have</x:v>
      </x:c>
      <x:c r="I12" s="13" t="str">
        <x:v>Days 30-60 Onboard &amp; Build</x:v>
      </x:c>
      <x:c r="J12" s="13" t="str">
        <x:v>Collator Lead</x:v>
      </x:c>
    </x:row>
    <x:row r="13" ht="74" customHeight="1">
      <x:c r="A13" s="13" t="str">
        <x:v>AGOPS-E12</x:v>
      </x:c>
      <x:c r="B13" s="13" t="str">
        <x:v>Collator - End-to-End Build-to-Run Integration</x:v>
      </x:c>
      <x:c r="C13" s="13" t="str">
        <x:v>Agent Runtime</x:v>
      </x:c>
      <x:c r="D13" s="13" t="str">
        <x:v>Collator</x:v>
      </x:c>
      <x:c r="E13" s="13" t="str">
        <x:v>Prove the full path from UI/YAML definition to compiled package to ADK runtime execution.</x:v>
      </x:c>
      <x:c r="F13" s="13" t="str">
        <x:v>E2E pipeline, smoke tests, release evidence, dependency report, notebook/harness.</x:v>
      </x:c>
      <x:c r="G13" s="13" t="str">
        <x:v>One flagship agent completes dev-to-staging promotion and executes through the standard runtime.</x:v>
      </x:c>
      <x:c r="H13" s="13" t="str">
        <x:v>P0 - Must Have</x:v>
      </x:c>
      <x:c r="I13" s="13" t="str">
        <x:v>Days 60-90 First Promotion</x:v>
      </x:c>
      <x:c r="J13" s="13" t="str">
        <x:v>Collator Lead / Backend Lead</x:v>
      </x:c>
    </x:row>
    <x:row r="14" ht="74" customHeight="1">
      <x:c r="A14" s="13" t="str">
        <x:v>AGOPS-E13</x:v>
      </x:c>
      <x:c r="B14" s="13" t="str">
        <x:v>Data Science - Agent Classes, Templates &amp; Patterns</x:v>
      </x:c>
      <x:c r="C14" s="13" t="str">
        <x:v>Development Plane</x:v>
      </x:c>
      <x:c r="D14" s="13" t="str">
        <x:v>Data Science</x:v>
      </x:c>
      <x:c r="E14" s="13" t="str">
        <x:v>Define reusable agent classes/templates so teams do not reinvent agentic workflows.</x:v>
      </x:c>
      <x:c r="F14" s="13" t="str">
        <x:v>Agent class taxonomy, starter templates, template metadata, allowed pattern catalogue.</x:v>
      </x:c>
      <x:c r="G14" s="13" t="str">
        <x:v>PMs can pick from approved templates with clear intended use, inputs, outputs and risks.</x:v>
      </x:c>
      <x:c r="H14" s="13" t="str">
        <x:v>P0 - Must Have</x:v>
      </x:c>
      <x:c r="I14" s="13" t="str">
        <x:v>Days 0-30 Foundations</x:v>
      </x:c>
      <x:c r="J14" s="13" t="str">
        <x:v>DS Lead</x:v>
      </x:c>
    </x:row>
    <x:row r="15" ht="74" customHeight="1">
      <x:c r="A15" s="13" t="str">
        <x:v>AGOPS-E14</x:v>
      </x:c>
      <x:c r="B15" s="13" t="str">
        <x:v>Data Science - Prompt, Persona, Policy &amp; Guardrail Assets</x:v>
      </x:c>
      <x:c r="C15" s="13" t="str">
        <x:v>Development Plane</x:v>
      </x:c>
      <x:c r="D15" s="13" t="str">
        <x:v>Data Science</x:v>
      </x:c>
      <x:c r="E15" s="13" t="str">
        <x:v>Standardize prompts/personas/policies as governed artifacts reviewed like code.</x:v>
      </x:c>
      <x:c r="F15" s="13" t="str">
        <x:v>Prompt standards, base personas, policy taxonomy, maker-checker rules, guardrail packs.</x:v>
      </x:c>
      <x:c r="G15" s="13" t="str">
        <x:v>All MVP agents inherit approved persona/prompt/policy baselines and cannot fork private personas.</x:v>
      </x:c>
      <x:c r="H15" s="13" t="str">
        <x:v>P0 - Must Have</x:v>
      </x:c>
      <x:c r="I15" s="13" t="str">
        <x:v>Days 0-30 Foundations</x:v>
      </x:c>
      <x:c r="J15" s="13" t="str">
        <x:v>DS Lead / Risk Partner</x:v>
      </x:c>
    </x:row>
    <x:row r="16" ht="74" customHeight="1">
      <x:c r="A16" s="13" t="str">
        <x:v>AGOPS-E15</x:v>
      </x:c>
      <x:c r="B16" s="13" t="str">
        <x:v>Data Science - Eval Harness, Golden Sets &amp; AI Judge</x:v>
      </x:c>
      <x:c r="C16" s="13" t="str">
        <x:v>Control Plane</x:v>
      </x:c>
      <x:c r="D16" s="13" t="str">
        <x:v>Data Science</x:v>
      </x:c>
      <x:c r="E16" s="13" t="str">
        <x:v>Gate promotions with objective evaluation, red-team coverage and AI-as-judge scoring.</x:v>
      </x:c>
      <x:c r="F16" s="13" t="str">
        <x:v>Golden set format, eval runner, model/prompt regression, rubric, drift thresholds.</x:v>
      </x:c>
      <x:c r="G16" s="13" t="str">
        <x:v>Promotion can be blocked when evals regress or red-team checks fail.</x:v>
      </x:c>
      <x:c r="H16" s="13" t="str">
        <x:v>P0 - Must Have</x:v>
      </x:c>
      <x:c r="I16" s="13" t="str">
        <x:v>Days 30-60 Onboard &amp; Build</x:v>
      </x:c>
      <x:c r="J16" s="13" t="str">
        <x:v>DS Lead</x:v>
      </x:c>
    </x:row>
    <x:row r="17" ht="74" customHeight="1">
      <x:c r="A17" s="13" t="str">
        <x:v>AGOPS-E16</x:v>
      </x:c>
      <x:c r="B17" s="13" t="str">
        <x:v>DS Exploration - RAG &amp; Agentic Pattern Spikes</x:v>
      </x:c>
      <x:c r="C17" s="13" t="str">
        <x:v>Development Plane</x:v>
      </x:c>
      <x:c r="D17" s="13" t="str">
        <x:v>Data Science Exploration</x:v>
      </x:c>
      <x:c r="E17" s="13" t="str">
        <x:v>Explore high-value patterns before hardening into templates.</x:v>
      </x:c>
      <x:c r="F17" s="13" t="str">
        <x:v>Semantic RAG, planner/executor, router/delegator, stateful workflows, eval comparison.</x:v>
      </x:c>
      <x:c r="G17" s="13" t="str">
        <x:v>Exploration yields recommended templates, known tradeoffs and backlog items for hardening.</x:v>
      </x:c>
      <x:c r="H17" s="13" t="str">
        <x:v>P1 - Should Have</x:v>
      </x:c>
      <x:c r="I17" s="13" t="str">
        <x:v>Days 0-30 Foundations</x:v>
      </x:c>
      <x:c r="J17" s="13" t="str">
        <x:v>DS Exploration Lead</x:v>
      </x:c>
    </x:row>
    <x:row r="18" ht="74" customHeight="1">
      <x:c r="A18" s="13" t="str">
        <x:v>AGOPS-E17</x:v>
      </x:c>
      <x:c r="B18" s="13" t="str">
        <x:v>DS Exploration - Model Gateway, COINS/R2D2 &amp; Runtime Feasibility</x:v>
      </x:c>
      <x:c r="C18" s="13" t="str">
        <x:v>Agent Runtime</x:v>
      </x:c>
      <x:c r="D18" s="13" t="str">
        <x:v>Data Science Exploration</x:v>
      </x:c>
      <x:c r="E18" s="13" t="str">
        <x:v>Validate external LLM integration, latency, auth and runtime recovery before production promotion.</x:v>
      </x:c>
      <x:c r="F18" s="13" t="str">
        <x:v>COINS/R2D2 adapter spikes, model selection, latency/cost tests, pod recovery, token controls.</x:v>
      </x:c>
      <x:c r="G18" s="13" t="str">
        <x:v>Runtime integration approach is validated with measured latency/cost and enterprise constraints captured.</x:v>
      </x:c>
      <x:c r="H18" s="13" t="str">
        <x:v>P0 - Must Have</x:v>
      </x:c>
      <x:c r="I18" s="13" t="str">
        <x:v>Days 30-60 Onboard &amp; Build</x:v>
      </x:c>
      <x:c r="J18" s="13" t="str">
        <x:v>DS Exploration Lead / Platform Engineer</x:v>
      </x:c>
    </x:row>
  </x:sheetData>
  <x:pageMargins left="0.7" right="0.7" top="0.75" bottom="0.75" header="0.3" footer="0.3"/>
  <x:tableParts count="1">
    <x:tablePart xmlns:r="http://schemas.openxmlformats.org/officeDocument/2006/relationships" r:id="R5ed0c7ab5cf444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8" hidden="0" customWidth="1"/>
    <x:col min="5" max="5" width="22" hidden="0" customWidth="1"/>
    <x:col min="6" max="6" width="36" hidden="0" customWidth="1"/>
    <x:col min="7" max="7" width="40" hidden="0" customWidth="1"/>
    <x:col min="8" max="8" width="42" hidden="0" customWidth="1"/>
    <x:col min="9" max="9" width="44" hidden="0" customWidth="1"/>
    <x:col min="10" max="10" width="16" hidden="0" customWidth="1"/>
    <x:col min="11" max="11" width="24" hidden="0" customWidth="1"/>
    <x:col min="12" max="12" width="12" hidden="0" customWidth="1"/>
    <x:col min="13" max="13" width="20" hidden="0" customWidth="1"/>
    <x:col min="14" max="14" width="26" hidden="0" customWidth="1"/>
    <x:col min="15" max="15" width="24" hidden="0" customWidth="1"/>
    <x:col min="16" max="16" width="12" hidden="0" customWidth="1"/>
    <x:col min="17" max="17" width="30" hidden="0" customWidth="1"/>
  </x:cols>
  <x:sheetData>
    <x:row r="1" ht="30" customHeight="1">
      <x:c r="A1" s="6" t="str">
        <x:v>Issue Key</x:v>
      </x:c>
      <x:c r="B1" s="6" t="str">
        <x:v>Issue Type</x:v>
      </x:c>
      <x:c r="C1" s="6" t="str">
        <x:v>Epic Link</x:v>
      </x:c>
      <x:c r="D1" s="6" t="str">
        <x:v>Plane</x:v>
      </x:c>
      <x:c r="E1" s="6" t="str">
        <x:v>Epic Stream</x:v>
      </x:c>
      <x:c r="F1" s="6" t="str">
        <x:v>Summary</x:v>
      </x:c>
      <x:c r="G1" s="6" t="str">
        <x:v>User Story</x:v>
      </x:c>
      <x:c r="H1" s="6" t="str">
        <x:v>Description / Scope</x:v>
      </x:c>
      <x:c r="I1" s="6" t="str">
        <x:v>Acceptance Criteria</x:v>
      </x:c>
      <x:c r="J1" s="6" t="str">
        <x:v>Priority</x:v>
      </x:c>
      <x:c r="K1" s="6" t="str">
        <x:v>Target Window</x:v>
      </x:c>
      <x:c r="L1" s="6" t="str">
        <x:v>Story Points</x:v>
      </x:c>
      <x:c r="M1" s="6" t="str">
        <x:v>Primary Owner Role</x:v>
      </x:c>
      <x:c r="N1" s="6" t="str">
        <x:v>Dependencies</x:v>
      </x:c>
      <x:c r="O1" s="6" t="str">
        <x:v>Labels</x:v>
      </x:c>
      <x:c r="P1" s="6" t="str">
        <x:v>Status</x:v>
      </x:c>
      <x:c r="Q1" s="6" t="str">
        <x:v>Notes / Risks</x:v>
      </x:c>
    </x:row>
    <x:row r="2" ht="68" customHeight="1">
      <x:c r="A2" s="13" t="str">
        <x:v>AGOPS-001</x:v>
      </x:c>
      <x:c r="B2" s="13" t="str">
        <x:v>Story</x:v>
      </x:c>
      <x:c r="C2" s="13" t="str">
        <x:v>AGOPS-E01</x:v>
      </x:c>
      <x:c r="D2" s="13" t="str">
        <x:v>User Plane</x:v>
      </x:c>
      <x:c r="E2" s="13" t="str">
        <x:v>UI</x:v>
      </x:c>
      <x:c r="F2" s="13" t="str">
        <x:v>Create Agent Studio landing page and workspace navigation</x:v>
      </x:c>
      <x:c r="G2" s="13" t="str">
        <x:v>As a Product Manager, I want a single Agent Studio entry point so I can find, create, and manage agent definitions without switching tools.</x:v>
      </x:c>
      <x:c r="H2" s="13" t="str">
        <x:v>Build the shell, navigation, workspace selector and role-based entry points for Agent Catalog, Workflow, Tools, Prompts, Policy and Reviews.</x:v>
      </x:c>
      <x:c r="I2" s="13" t="str">
        <x:v>- Landing page shows Create, Catalog, Recent Agents and Pending Reviews
- Navigation includes Workflow, Tools, Prompts, Policy, Review, Publish
- Role-based visibility for PM, senior developer, reviewer and admin</x:v>
      </x:c>
      <x:c r="J2" s="13" t="str">
        <x:v>P0 - Must Have</x:v>
      </x:c>
      <x:c r="K2" s="13" t="str">
        <x:v>Days 0-30 Foundations</x:v>
      </x:c>
      <x:c r="L2" s="13" t="n">
        <x:v>5</x:v>
      </x:c>
      <x:c r="M2" s="13" t="str">
        <x:v>UI Engineer</x:v>
      </x:c>
      <x:c r="N2" s="13" t="str">
        <x:v>AGOPS-E05</x:v>
      </x:c>
      <x:c r="O2" s="13" t="str">
        <x:v>UserPlane, UI, MVP</x:v>
      </x:c>
      <x:c r="P2" s="13" t="str">
        <x:v>Proposed</x:v>
      </x:c>
      <x:c r="Q2" s="13" t="str"/>
    </x:row>
    <x:row r="3" ht="68" customHeight="1">
      <x:c r="A3" s="13" t="str">
        <x:v>AGOPS-002</x:v>
      </x:c>
      <x:c r="B3" s="13" t="str">
        <x:v>Story</x:v>
      </x:c>
      <x:c r="C3" s="13" t="str">
        <x:v>AGOPS-E01</x:v>
      </x:c>
      <x:c r="D3" s="13" t="str">
        <x:v>User Plane</x:v>
      </x:c>
      <x:c r="E3" s="13" t="str">
        <x:v>UI</x:v>
      </x:c>
      <x:c r="F3" s="13" t="str">
        <x:v>Build agent creation wizard with domain metadata</x:v>
      </x:c>
      <x:c r="G3" s="13" t="str">
        <x:v>As a PM, I want a guided agent creation flow so that each agent starts with clear owner, domain, risk tier and intended outcome.</x:v>
      </x:c>
      <x:c r="H3" s="13" t="str">
        <x:v>Create wizard capturing agent name, description, domain, business owner, SME reviewers, data sensitivity, initial template and target environment.</x:v>
      </x:c>
      <x:c r="I3" s="13" t="str">
        <x:v>- Wizard validates required fields
- Risk tier and domain are captured at creation
- Draft agent is persisted through backend API</x:v>
      </x:c>
      <x:c r="J3" s="13" t="str">
        <x:v>P0 - Must Have</x:v>
      </x:c>
      <x:c r="K3" s="13" t="str">
        <x:v>Days 0-30 Foundations</x:v>
      </x:c>
      <x:c r="L3" s="13" t="n">
        <x:v>5</x:v>
      </x:c>
      <x:c r="M3" s="13" t="str">
        <x:v>UI Engineer</x:v>
      </x:c>
      <x:c r="N3" s="13" t="str">
        <x:v>AGOPS-E05; AGOPS-E13</x:v>
      </x:c>
      <x:c r="O3" s="13" t="str">
        <x:v>UserPlane, UI, MVP</x:v>
      </x:c>
      <x:c r="P3" s="13" t="str">
        <x:v>Proposed</x:v>
      </x:c>
      <x:c r="Q3" s="13" t="str"/>
    </x:row>
    <x:row r="4" ht="68" customHeight="1">
      <x:c r="A4" s="13" t="str">
        <x:v>AGOPS-003</x:v>
      </x:c>
      <x:c r="B4" s="13" t="str">
        <x:v>Story</x:v>
      </x:c>
      <x:c r="C4" s="13" t="str">
        <x:v>AGOPS-E13</x:v>
      </x:c>
      <x:c r="D4" s="13" t="str">
        <x:v>Development Plane</x:v>
      </x:c>
      <x:c r="E4" s="13" t="str">
        <x:v>Data Science</x:v>
      </x:c>
      <x:c r="F4" s="13" t="str">
        <x:v>Define initial Agent Class template library</x:v>
      </x:c>
      <x:c r="G4" s="13" t="str">
        <x:v>As a senior developer, I want approved starter templates so that common agentic workflows are reused rather than rebuilt.</x:v>
      </x:c>
      <x:c r="H4" s="13" t="str">
        <x:v>Define MVP templates equivalent to Agent Class: router/delegator, tool-calling assistant, RAG-grounded assistant, maker-checker workflow, and multi-agent handoff.</x:v>
      </x:c>
      <x:c r="I4" s="13" t="str">
        <x:v>- Each template has purpose, input/output contract, allowed tools, prompt hooks and risk notes
- Templates are versioned and mapped to UI wizard options
- At least two templates are ready for MVP flagship agents</x:v>
      </x:c>
      <x:c r="J4" s="13" t="str">
        <x:v>P0 - Must Have</x:v>
      </x:c>
      <x:c r="K4" s="13" t="str">
        <x:v>Days 0-30 Foundations</x:v>
      </x:c>
      <x:c r="L4" s="13" t="n">
        <x:v>8</x:v>
      </x:c>
      <x:c r="M4" s="13" t="str">
        <x:v>Data Scientist</x:v>
      </x:c>
      <x:c r="N4" s="13" t="str"/>
      <x:c r="O4" s="13" t="str">
        <x:v>AgentClass, Templates, MVP</x:v>
      </x:c>
      <x:c r="P4" s="13" t="str">
        <x:v>Proposed</x:v>
      </x:c>
      <x:c r="Q4" s="13" t="str"/>
    </x:row>
    <x:row r="5" ht="68" customHeight="1">
      <x:c r="A5" s="13" t="str">
        <x:v>AGOPS-004</x:v>
      </x:c>
      <x:c r="B5" s="13" t="str">
        <x:v>Story</x:v>
      </x:c>
      <x:c r="C5" s="13" t="str">
        <x:v>AGOPS-E02</x:v>
      </x:c>
      <x:c r="D5" s="13" t="str">
        <x:v>User Plane</x:v>
      </x:c>
      <x:c r="E5" s="13" t="str">
        <x:v>UI</x:v>
      </x:c>
      <x:c r="F5" s="13" t="str">
        <x:v>Build visual workflow canvas for agent flow definition</x:v>
      </x:c>
      <x:c r="G5" s="13" t="str">
        <x:v>As a senior developer, I want to describe an agentic flow visually so that PMs and domain SMEs can review how the agent works.</x:v>
      </x:c>
      <x:c r="H5" s="13" t="str">
        <x:v>Canvas supports nodes for agent, tool, condition, approval, retrieval, and handoff; edges define execution order and decision paths.</x:v>
      </x:c>
      <x:c r="I5" s="13" t="str">
        <x:v>- Users can add, connect and delete nodes
- Canvas validates mandatory node properties
- Canvas serializes to canonical workflow representation</x:v>
      </x:c>
      <x:c r="J5" s="13" t="str">
        <x:v>P0 - Must Have</x:v>
      </x:c>
      <x:c r="K5" s="13" t="str">
        <x:v>Days 30-60 Onboard &amp; Build</x:v>
      </x:c>
      <x:c r="L5" s="13" t="n">
        <x:v>13</x:v>
      </x:c>
      <x:c r="M5" s="13" t="str">
        <x:v>UI Engineer</x:v>
      </x:c>
      <x:c r="N5" s="13" t="str">
        <x:v>AGOPS-E06</x:v>
      </x:c>
      <x:c r="O5" s="13" t="str">
        <x:v>Workflow, UI, MVP</x:v>
      </x:c>
      <x:c r="P5" s="13" t="str">
        <x:v>Proposed</x:v>
      </x:c>
      <x:c r="Q5" s="13" t="str"/>
    </x:row>
    <x:row r="6" ht="68" customHeight="1">
      <x:c r="A6" s="13" t="str">
        <x:v>AGOPS-005</x:v>
      </x:c>
      <x:c r="B6" s="13" t="str">
        <x:v>Story</x:v>
      </x:c>
      <x:c r="C6" s="13" t="str">
        <x:v>AGOPS-E02</x:v>
      </x:c>
      <x:c r="D6" s="13" t="str">
        <x:v>User Plane</x:v>
      </x:c>
      <x:c r="E6" s="13" t="str">
        <x:v>UI</x:v>
      </x:c>
      <x:c r="F6" s="13" t="str">
        <x:v>Enable YAML import, export and side-by-side diff</x:v>
      </x:c>
      <x:c r="G6" s="13" t="str">
        <x:v>As a developer, I want YAML round-trip support so that workflow definitions can be authored in code or UI.</x:v>
      </x:c>
      <x:c r="H6" s="13" t="str">
        <x:v>Provide YAML editor, import/export, schema highlighting, and diff between current draft and last saved/promoted version.</x:v>
      </x:c>
      <x:c r="I6" s="13" t="str">
        <x:v>- Valid YAML imports into visual workflow
- Invalid YAML shows line-level errors from compiler/validator
- Exported YAML can be committed to repo or re-imported unchanged</x:v>
      </x:c>
      <x:c r="J6" s="13" t="str">
        <x:v>P0 - Must Have</x:v>
      </x:c>
      <x:c r="K6" s="13" t="str">
        <x:v>Days 30-60 Onboard &amp; Build</x:v>
      </x:c>
      <x:c r="L6" s="13" t="n">
        <x:v>8</x:v>
      </x:c>
      <x:c r="M6" s="13" t="str">
        <x:v>UI Engineer</x:v>
      </x:c>
      <x:c r="N6" s="13" t="str">
        <x:v>AGOPS-E06</x:v>
      </x:c>
      <x:c r="O6" s="13" t="str">
        <x:v>YAML, Workflow, MVP</x:v>
      </x:c>
      <x:c r="P6" s="13" t="str">
        <x:v>Proposed</x:v>
      </x:c>
      <x:c r="Q6" s="13" t="str"/>
    </x:row>
    <x:row r="7" ht="68" customHeight="1">
      <x:c r="A7" s="13" t="str">
        <x:v>AGOPS-006</x:v>
      </x:c>
      <x:c r="B7" s="13" t="str">
        <x:v>Story</x:v>
      </x:c>
      <x:c r="C7" s="13" t="str">
        <x:v>AGOPS-E03</x:v>
      </x:c>
      <x:c r="D7" s="13" t="str">
        <x:v>User Plane</x:v>
      </x:c>
      <x:c r="E7" s="13" t="str">
        <x:v>UI</x:v>
      </x:c>
      <x:c r="F7" s="13" t="str">
        <x:v>Create tool selection and registry browsing screen</x:v>
      </x:c>
      <x:c r="G7" s="13" t="str">
        <x:v>As a PM or developer, I want to search available tools so that I can reuse approved tools rather than request duplicates.</x:v>
      </x:c>
      <x:c r="H7" s="13" t="str">
        <x:v>Screen integrates with MCP/tool registry; supports search, filters, owner, risk tier, schema preview, approval status and usage notes.</x:v>
      </x:c>
      <x:c r="I7" s="13" t="str">
        <x:v>- Search-before-build warning appears on similar tools
- Tool schema and owner are visible
- Only approved tools can be attached to promotion-ready agents</x:v>
      </x:c>
      <x:c r="J7" s="13" t="str">
        <x:v>P0 - Must Have</x:v>
      </x:c>
      <x:c r="K7" s="13" t="str">
        <x:v>Days 30-60 Onboard &amp; Build</x:v>
      </x:c>
      <x:c r="L7" s="13" t="n">
        <x:v>8</x:v>
      </x:c>
      <x:c r="M7" s="13" t="str">
        <x:v>UI Engineer</x:v>
      </x:c>
      <x:c r="N7" s="13" t="str">
        <x:v>AGOPS-E10</x:v>
      </x:c>
      <x:c r="O7" s="13" t="str">
        <x:v>Tools, MCP, UI, MVP</x:v>
      </x:c>
      <x:c r="P7" s="13" t="str">
        <x:v>Proposed</x:v>
      </x:c>
      <x:c r="Q7" s="13" t="str"/>
    </x:row>
    <x:row r="8" ht="68" customHeight="1">
      <x:c r="A8" s="13" t="str">
        <x:v>AGOPS-007</x:v>
      </x:c>
      <x:c r="B8" s="13" t="str">
        <x:v>Story</x:v>
      </x:c>
      <x:c r="C8" s="13" t="str">
        <x:v>AGOPS-E03</x:v>
      </x:c>
      <x:c r="D8" s="13" t="str">
        <x:v>User Plane</x:v>
      </x:c>
      <x:c r="E8" s="13" t="str">
        <x:v>UI</x:v>
      </x:c>
      <x:c r="F8" s="13" t="str">
        <x:v>Build prompt authoring and injection screen</x:v>
      </x:c>
      <x:c r="G8" s="13" t="str">
        <x:v>As a prompt engineer, I want to manage system instructions, prompt templates and few-shot examples so that prompts are controlled artifacts.</x:v>
      </x:c>
      <x:c r="H8" s="13" t="str">
        <x:v>Implement fields for system instruction, retrieval template, tool-use guidance, examples and prompt variables; connect to backend versioning.</x:v>
      </x:c>
      <x:c r="I8" s="13" t="str">
        <x:v>- Prompt text is versioned
- Prompt linter warnings are displayed
- Prompt variables are validated against workflow inputs</x:v>
      </x:c>
      <x:c r="J8" s="13" t="str">
        <x:v>P0 - Must Have</x:v>
      </x:c>
      <x:c r="K8" s="13" t="str">
        <x:v>Days 30-60 Onboard &amp; Build</x:v>
      </x:c>
      <x:c r="L8" s="13" t="n">
        <x:v>8</x:v>
      </x:c>
      <x:c r="M8" s="13" t="str">
        <x:v>UI Engineer</x:v>
      </x:c>
      <x:c r="N8" s="13" t="str">
        <x:v>AGOPS-E14; AGOPS-E05</x:v>
      </x:c>
      <x:c r="O8" s="13" t="str">
        <x:v>Prompts, UI, MVP</x:v>
      </x:c>
      <x:c r="P8" s="13" t="str">
        <x:v>Proposed</x:v>
      </x:c>
      <x:c r="Q8" s="13" t="str"/>
    </x:row>
    <x:row r="9" ht="68" customHeight="1">
      <x:c r="A9" s="13" t="str">
        <x:v>AGOPS-008</x:v>
      </x:c>
      <x:c r="B9" s="13" t="str">
        <x:v>Story</x:v>
      </x:c>
      <x:c r="C9" s="13" t="str">
        <x:v>AGOPS-E03</x:v>
      </x:c>
      <x:c r="D9" s="13" t="str">
        <x:v>User Plane</x:v>
      </x:c>
      <x:c r="E9" s="13" t="str">
        <x:v>UI</x:v>
      </x:c>
      <x:c r="F9" s="13" t="str">
        <x:v>Build policy configuration screen for maker-checker approval</x:v>
      </x:c>
      <x:c r="G9" s="13" t="str">
        <x:v>As a PM, I want to define when a human approval is required so that consequential actions have appropriate control.</x:v>
      </x:c>
      <x:c r="H9" s="13" t="str">
        <x:v>Screen configures maker-checker gates by risk tier, action type, confidence, data sensitivity and output class.</x:v>
      </x:c>
      <x:c r="I9" s="13" t="str">
        <x:v>- Policy rules can be attached to workflow nodes
- Policy config is validated before promotion
- High-risk side effects require human review by default</x:v>
      </x:c>
      <x:c r="J9" s="13" t="str">
        <x:v>P0 - Must Have</x:v>
      </x:c>
      <x:c r="K9" s="13" t="str">
        <x:v>Days 30-60 Onboard &amp; Build</x:v>
      </x:c>
      <x:c r="L9" s="13" t="n">
        <x:v>8</x:v>
      </x:c>
      <x:c r="M9" s="13" t="str">
        <x:v>UI Engineer</x:v>
      </x:c>
      <x:c r="N9" s="13" t="str">
        <x:v>AGOPS-E14; AGOPS-E08</x:v>
      </x:c>
      <x:c r="O9" s="13" t="str">
        <x:v>Policy, MakerChecker, MVP</x:v>
      </x:c>
      <x:c r="P9" s="13" t="str">
        <x:v>Proposed</x:v>
      </x:c>
      <x:c r="Q9" s="13" t="str"/>
    </x:row>
    <x:row r="10" ht="68" customHeight="1">
      <x:c r="A10" s="13" t="str">
        <x:v>AGOPS-009</x:v>
      </x:c>
      <x:c r="B10" s="13" t="str">
        <x:v>Story</x:v>
      </x:c>
      <x:c r="C10" s="13" t="str">
        <x:v>AGOPS-E04</x:v>
      </x:c>
      <x:c r="D10" s="13" t="str">
        <x:v>User Plane</x:v>
      </x:c>
      <x:c r="E10" s="13" t="str">
        <x:v>UI</x:v>
      </x:c>
      <x:c r="F10" s="13" t="str">
        <x:v>Implement HITL reviewer dashboard and queues</x:v>
      </x:c>
      <x:c r="G10" s="13" t="str">
        <x:v>As a domain SME reviewer, I want a prioritized review queue so that I can approve, reject or edit agent actions within SLA.</x:v>
      </x:c>
      <x:c r="H10" s="13" t="str">
        <x:v>Build queue with SLA sorting, action detail, source context, retrieved evidence, prior similar approvals and audit history.</x:v>
      </x:c>
      <x:c r="I10" s="13" t="str">
        <x:v>- Reviewer can approve/reject/edit with comment
- Queue sorts by SLA and risk
- Every review action emits audit event</x:v>
      </x:c>
      <x:c r="J10" s="13" t="str">
        <x:v>P0 - Must Have</x:v>
      </x:c>
      <x:c r="K10" s="13" t="str">
        <x:v>Days 60-90 First Promotion</x:v>
      </x:c>
      <x:c r="L10" s="13" t="n">
        <x:v>13</x:v>
      </x:c>
      <x:c r="M10" s="13" t="str">
        <x:v>UI Engineer</x:v>
      </x:c>
      <x:c r="N10" s="13" t="str">
        <x:v>AGOPS-E09; AGOPS-E08</x:v>
      </x:c>
      <x:c r="O10" s="13" t="str">
        <x:v>HITL, UI, MVP</x:v>
      </x:c>
      <x:c r="P10" s="13" t="str">
        <x:v>Proposed</x:v>
      </x:c>
      <x:c r="Q10" s="13" t="str"/>
    </x:row>
    <x:row r="11" ht="68" customHeight="1">
      <x:c r="A11" s="13" t="str">
        <x:v>AGOPS-010</x:v>
      </x:c>
      <x:c r="B11" s="13" t="str">
        <x:v>Story</x:v>
      </x:c>
      <x:c r="C11" s="13" t="str">
        <x:v>AGOPS-E04</x:v>
      </x:c>
      <x:c r="D11" s="13" t="str">
        <x:v>User Plane</x:v>
      </x:c>
      <x:c r="E11" s="13" t="str">
        <x:v>UI</x:v>
      </x:c>
      <x:c r="F11" s="13" t="str">
        <x:v>Build test chat and dry-run console for draft agents</x:v>
      </x:c>
      <x:c r="G11" s="13" t="str">
        <x:v>As a PM or developer, I want to test an agent before promotion so that behavior can be inspected safely.</x:v>
      </x:c>
      <x:c r="H11" s="13" t="str">
        <x:v>Create dry-run console showing input, model response, tool calls, guardrail decisions, retrieved context and reviewer-triggered pauses.</x:v>
      </x:c>
      <x:c r="I11" s="13" t="str">
        <x:v>- Dry-run calls non-production runtime only
- Tool calls can be simulated or sandboxed
- Trace and guardrail decisions are visible in console</x:v>
      </x:c>
      <x:c r="J11" s="13" t="str">
        <x:v>P0 - Must Have</x:v>
      </x:c>
      <x:c r="K11" s="13" t="str">
        <x:v>Days 30-60 Onboard &amp; Build</x:v>
      </x:c>
      <x:c r="L11" s="13" t="n">
        <x:v>8</x:v>
      </x:c>
      <x:c r="M11" s="13" t="str">
        <x:v>UI Engineer</x:v>
      </x:c>
      <x:c r="N11" s="13" t="str">
        <x:v>AGOPS-E07; AGOPS-E09</x:v>
      </x:c>
      <x:c r="O11" s="13" t="str">
        <x:v>Testing, UserPlane, MVP</x:v>
      </x:c>
      <x:c r="P11" s="13" t="str">
        <x:v>Proposed</x:v>
      </x:c>
      <x:c r="Q11" s="13" t="str"/>
    </x:row>
    <x:row r="12" ht="68" customHeight="1">
      <x:c r="A12" s="13" t="str">
        <x:v>AGOPS-011</x:v>
      </x:c>
      <x:c r="B12" s="13" t="str">
        <x:v>Story</x:v>
      </x:c>
      <x:c r="C12" s="13" t="str">
        <x:v>AGOPS-E01</x:v>
      </x:c>
      <x:c r="D12" s="13" t="str">
        <x:v>User Plane</x:v>
      </x:c>
      <x:c r="E12" s="13" t="str">
        <x:v>UI</x:v>
      </x:c>
      <x:c r="F12" s="13" t="str">
        <x:v>Create agent catalog and portfolio view</x:v>
      </x:c>
      <x:c r="G12" s="13" t="str">
        <x:v>As a PM, I want to see all agents and their status so that duplication, ownership and lifecycle risk are visible.</x:v>
      </x:c>
      <x:c r="H12" s="13" t="str">
        <x:v>Catalog includes owner, domain, template, tools, risk tier, status, latest version, last run, cost and promotion stage.</x:v>
      </x:c>
      <x:c r="I12" s="13" t="str">
        <x:v>- Catalog can filter by domain, status, owner and risk
- Potential duplicate agents are flagged
- Portfolio view supports quarterly review</x:v>
      </x:c>
      <x:c r="J12" s="13" t="str">
        <x:v>P1 - Should Have</x:v>
      </x:c>
      <x:c r="K12" s="13" t="str">
        <x:v>Days 60-90 First Promotion</x:v>
      </x:c>
      <x:c r="L12" s="13" t="n">
        <x:v>8</x:v>
      </x:c>
      <x:c r="M12" s="13" t="str">
        <x:v>UI Engineer</x:v>
      </x:c>
      <x:c r="N12" s="13" t="str">
        <x:v>AGOPS-E05; AGOPS-E09</x:v>
      </x:c>
      <x:c r="O12" s="13" t="str">
        <x:v>Catalog, AntiDuplication</x:v>
      </x:c>
      <x:c r="P12" s="13" t="str">
        <x:v>Proposed</x:v>
      </x:c>
      <x:c r="Q12" s="13" t="str"/>
    </x:row>
    <x:row r="13" ht="68" customHeight="1">
      <x:c r="A13" s="13" t="str">
        <x:v>AGOPS-012</x:v>
      </x:c>
      <x:c r="B13" s="13" t="str">
        <x:v>Story</x:v>
      </x:c>
      <x:c r="C13" s="13" t="str">
        <x:v>AGOPS-E03</x:v>
      </x:c>
      <x:c r="D13" s="13" t="str">
        <x:v>User Plane</x:v>
      </x:c>
      <x:c r="E13" s="13" t="str">
        <x:v>UI</x:v>
      </x:c>
      <x:c r="F13" s="13" t="str">
        <x:v>Build promotion request screen</x:v>
      </x:c>
      <x:c r="G13" s="13" t="str">
        <x:v>As a senior developer, I want to package a promotion request from User Plane so that the Control Plane can evaluate release gates.</x:v>
      </x:c>
      <x:c r="H13" s="13" t="str">
        <x:v>Create promote button and release package summary with workflow, tools, prompts, policies, eval result, owners, reviewers, and audit route.</x:v>
      </x:c>
      <x:c r="I13" s="13" t="str">
        <x:v>- Request is blocked when required fields are missing
- Gate status is visible before submit
- Promotion request creates backend release workflow</x:v>
      </x:c>
      <x:c r="J13" s="13" t="str">
        <x:v>P0 - Must Have</x:v>
      </x:c>
      <x:c r="K13" s="13" t="str">
        <x:v>Days 60-90 First Promotion</x:v>
      </x:c>
      <x:c r="L13" s="13" t="n">
        <x:v>8</x:v>
      </x:c>
      <x:c r="M13" s="13" t="str">
        <x:v>UI Engineer</x:v>
      </x:c>
      <x:c r="N13" s="13" t="str">
        <x:v>AGOPS-E08; AGOPS-E15; AGOPS-E12</x:v>
      </x:c>
      <x:c r="O13" s="13" t="str">
        <x:v>Promotion, UI, MVP</x:v>
      </x:c>
      <x:c r="P13" s="13" t="str">
        <x:v>Proposed</x:v>
      </x:c>
      <x:c r="Q13" s="13" t="str"/>
    </x:row>
    <x:row r="14" ht="68" customHeight="1">
      <x:c r="A14" s="13" t="str">
        <x:v>AGOPS-013</x:v>
      </x:c>
      <x:c r="B14" s="13" t="str">
        <x:v>Story</x:v>
      </x:c>
      <x:c r="C14" s="13" t="str">
        <x:v>AGOPS-E05</x:v>
      </x:c>
      <x:c r="D14" s="13" t="str">
        <x:v>Development Plane</x:v>
      </x:c>
      <x:c r="E14" s="13" t="str">
        <x:v>Backend</x:v>
      </x:c>
      <x:c r="F14" s="13" t="str">
        <x:v>Define canonical agent definition data model</x:v>
      </x:c>
      <x:c r="G14" s="13" t="str">
        <x:v>As a backend engineer, I want a canonical model so that UI, YAML, compiler and runtime use the same contract.</x:v>
      </x:c>
      <x:c r="H14" s="13" t="str">
        <x:v>Model agent, template, workflow, tool refs, prompts, policies, eval refs, owners, reviewers, environment and status.</x:v>
      </x:c>
      <x:c r="I14" s="13" t="str">
        <x:v>- Model supports versioning
- Required ownership and risk fields are enforced
- Model maps to YAML schema and API DTOs</x:v>
      </x:c>
      <x:c r="J14" s="13" t="str">
        <x:v>P0 - Must Have</x:v>
      </x:c>
      <x:c r="K14" s="13" t="str">
        <x:v>Days 0-30 Foundations</x:v>
      </x:c>
      <x:c r="L14" s="13" t="n">
        <x:v>8</x:v>
      </x:c>
      <x:c r="M14" s="13" t="str">
        <x:v>Backend Engineer</x:v>
      </x:c>
      <x:c r="N14" s="13" t="str">
        <x:v>AGOPS-E13</x:v>
      </x:c>
      <x:c r="O14" s="13" t="str">
        <x:v>Backend, DataModel, MVP</x:v>
      </x:c>
      <x:c r="P14" s="13" t="str">
        <x:v>Proposed</x:v>
      </x:c>
      <x:c r="Q14" s="13" t="str"/>
    </x:row>
    <x:row r="15" ht="68" customHeight="1">
      <x:c r="A15" s="13" t="str">
        <x:v>AGOPS-014</x:v>
      </x:c>
      <x:c r="B15" s="13" t="str">
        <x:v>Story</x:v>
      </x:c>
      <x:c r="C15" s="13" t="str">
        <x:v>AGOPS-E05</x:v>
      </x:c>
      <x:c r="D15" s="13" t="str">
        <x:v>Development Plane</x:v>
      </x:c>
      <x:c r="E15" s="13" t="str">
        <x:v>Backend</x:v>
      </x:c>
      <x:c r="F15" s="13" t="str">
        <x:v>Build agent definition CRUD APIs</x:v>
      </x:c>
      <x:c r="G15" s="13" t="str">
        <x:v>As the User Plane UI, I need APIs to create, update, retrieve and list agent definitions.</x:v>
      </x:c>
      <x:c r="H15" s="13" t="str">
        <x:v>Implement REST endpoints for draft lifecycle, version metadata, owner fields, risk classification and status transitions.</x:v>
      </x:c>
      <x:c r="I15" s="13" t="str">
        <x:v>- CRUD endpoints are documented
- APIs enforce optimistic locking/version control
- API supports catalog list and detail views</x:v>
      </x:c>
      <x:c r="J15" s="13" t="str">
        <x:v>P0 - Must Have</x:v>
      </x:c>
      <x:c r="K15" s="13" t="str">
        <x:v>Days 0-30 Foundations</x:v>
      </x:c>
      <x:c r="L15" s="13" t="n">
        <x:v>8</x:v>
      </x:c>
      <x:c r="M15" s="13" t="str">
        <x:v>Backend Engineer</x:v>
      </x:c>
      <x:c r="N15" s="13" t="str">
        <x:v>AGOPS-E05</x:v>
      </x:c>
      <x:c r="O15" s="13" t="str">
        <x:v>API, Backend, MVP</x:v>
      </x:c>
      <x:c r="P15" s="13" t="str">
        <x:v>Proposed</x:v>
      </x:c>
      <x:c r="Q15" s="13" t="str"/>
    </x:row>
    <x:row r="16" ht="68" customHeight="1">
      <x:c r="A16" s="13" t="str">
        <x:v>AGOPS-015</x:v>
      </x:c>
      <x:c r="B16" s="13" t="str">
        <x:v>Story</x:v>
      </x:c>
      <x:c r="C16" s="13" t="str">
        <x:v>AGOPS-E05</x:v>
      </x:c>
      <x:c r="D16" s="13" t="str">
        <x:v>Development Plane</x:v>
      </x:c>
      <x:c r="E16" s="13" t="str">
        <x:v>Backend</x:v>
      </x:c>
      <x:c r="F16" s="13" t="str">
        <x:v>Implement artifact registry for prompts, personas, policies and eval refs</x:v>
      </x:c>
      <x:c r="G16" s="13" t="str">
        <x:v>As a platform team, I want agent artifacts to be reusable and versioned so that agent behavior is reproducible.</x:v>
      </x:c>
      <x:c r="H16" s="13" t="str">
        <x:v>Registry stores artifact metadata, content hash, owner, version, approval state and dependencies.</x:v>
      </x:c>
      <x:c r="I16" s="13" t="str">
        <x:v>- Artifact versions are immutable after approval
- Agent definition references exact versions
- Registry APIs support list/search/detail</x:v>
      </x:c>
      <x:c r="J16" s="13" t="str">
        <x:v>P0 - Must Have</x:v>
      </x:c>
      <x:c r="K16" s="13" t="str">
        <x:v>Days 30-60 Onboard &amp; Build</x:v>
      </x:c>
      <x:c r="L16" s="13" t="n">
        <x:v>8</x:v>
      </x:c>
      <x:c r="M16" s="13" t="str">
        <x:v>Backend Engineer</x:v>
      </x:c>
      <x:c r="N16" s="13" t="str">
        <x:v>AGOPS-E11</x:v>
      </x:c>
      <x:c r="O16" s="13" t="str">
        <x:v>Registry, Backend, MVP</x:v>
      </x:c>
      <x:c r="P16" s="13" t="str">
        <x:v>Proposed</x:v>
      </x:c>
      <x:c r="Q16" s="13" t="str"/>
    </x:row>
    <x:row r="17" ht="68" customHeight="1">
      <x:c r="A17" s="13" t="str">
        <x:v>AGOPS-016</x:v>
      </x:c>
      <x:c r="B17" s="13" t="str">
        <x:v>Story</x:v>
      </x:c>
      <x:c r="C17" s="13" t="str">
        <x:v>AGOPS-E06</x:v>
      </x:c>
      <x:c r="D17" s="13" t="str">
        <x:v>Development Plane</x:v>
      </x:c>
      <x:c r="E17" s="13" t="str">
        <x:v>Backend</x:v>
      </x:c>
      <x:c r="F17" s="13" t="str">
        <x:v>Build YAML schema validator for agent workflow definitions</x:v>
      </x:c>
      <x:c r="G17" s="13" t="str">
        <x:v>As a developer, I want fast validation so that broken agent definitions are caught before runtime.</x:v>
      </x:c>
      <x:c r="H17" s="13" t="str">
        <x:v>Validate YAML against canonical schema, required metadata, node graph consistency, tool references, prompt variables and policy gates.</x:v>
      </x:c>
      <x:c r="I17" s="13" t="str">
        <x:v>- Validator returns field/path-level errors
- Validator detects missing owners, broken tool refs and unreachable nodes
- UI can display validation messages</x:v>
      </x:c>
      <x:c r="J17" s="13" t="str">
        <x:v>P0 - Must Have</x:v>
      </x:c>
      <x:c r="K17" s="13" t="str">
        <x:v>Days 30-60 Onboard &amp; Build</x:v>
      </x:c>
      <x:c r="L17" s="13" t="n">
        <x:v>13</x:v>
      </x:c>
      <x:c r="M17" s="13" t="str">
        <x:v>Backend Engineer</x:v>
      </x:c>
      <x:c r="N17" s="13" t="str">
        <x:v>AGOPS-E05; AGOPS-E10</x:v>
      </x:c>
      <x:c r="O17" s="13" t="str">
        <x:v>Validation, YAML, MVP</x:v>
      </x:c>
      <x:c r="P17" s="13" t="str">
        <x:v>Proposed</x:v>
      </x:c>
      <x:c r="Q17" s="13" t="str"/>
    </x:row>
    <x:row r="18" ht="68" customHeight="1">
      <x:c r="A18" s="13" t="str">
        <x:v>AGOPS-017</x:v>
      </x:c>
      <x:c r="B18" s="13" t="str">
        <x:v>Story</x:v>
      </x:c>
      <x:c r="C18" s="13" t="str">
        <x:v>AGOPS-E06</x:v>
      </x:c>
      <x:c r="D18" s="13" t="str">
        <x:v>Development Plane</x:v>
      </x:c>
      <x:c r="E18" s="13" t="str">
        <x:v>Backend</x:v>
      </x:c>
      <x:c r="F18" s="13" t="str">
        <x:v>Compile workflow definition into Google ADK runtime manifest</x:v>
      </x:c>
      <x:c r="G18" s="13" t="str">
        <x:v>As an agent builder, I want the definition compiled into a runnable manifest so that approved workflows can execute consistently.</x:v>
      </x:c>
      <x:c r="H18" s="13" t="str">
        <x:v>Compiler maps template/agent class, workflow nodes, tools, prompts, policy gates and model config to the ADK runtime contract.</x:v>
      </x:c>
      <x:c r="I18" s="13" t="str">
        <x:v>- Compiler emits deterministic manifest for same input
- Compiler fails if required runtime adapters are absent
- Compiled manifest is stored with content hash</x:v>
      </x:c>
      <x:c r="J18" s="13" t="str">
        <x:v>P0 - Must Have</x:v>
      </x:c>
      <x:c r="K18" s="13" t="str">
        <x:v>Days 30-60 Onboard &amp; Build</x:v>
      </x:c>
      <x:c r="L18" s="13" t="n">
        <x:v>13</x:v>
      </x:c>
      <x:c r="M18" s="13" t="str">
        <x:v>Backend Engineer</x:v>
      </x:c>
      <x:c r="N18" s="13" t="str">
        <x:v>AGOPS-E07; AGOPS-E11</x:v>
      </x:c>
      <x:c r="O18" s="13" t="str">
        <x:v>Compiler, ADK, MVP</x:v>
      </x:c>
      <x:c r="P18" s="13" t="str">
        <x:v>Proposed</x:v>
      </x:c>
      <x:c r="Q18" s="13" t="str"/>
    </x:row>
    <x:row r="19" ht="68" customHeight="1">
      <x:c r="A19" s="13" t="str">
        <x:v>AGOPS-018</x:v>
      </x:c>
      <x:c r="B19" s="13" t="str">
        <x:v>Story</x:v>
      </x:c>
      <x:c r="C19" s="13" t="str">
        <x:v>AGOPS-E06</x:v>
      </x:c>
      <x:c r="D19" s="13" t="str">
        <x:v>Development Plane</x:v>
      </x:c>
      <x:c r="E19" s="13" t="str">
        <x:v>Backend</x:v>
      </x:c>
      <x:c r="F19" s="13" t="str">
        <x:v>Implement dependency graph and duplicate detection service</x:v>
      </x:c>
      <x:c r="G19" s="13" t="str">
        <x:v>As a hub steward, I want dependencies and near-duplicates surfaced so that parallel tool/agent builds are prevented.</x:v>
      </x:c>
      <x:c r="H19" s="13" t="str">
        <x:v>Analyze agent, tool, prompt and persona dependencies; compare proposed submissions against catalog signatures and tags.</x:v>
      </x:c>
      <x:c r="I19" s="13" t="str">
        <x:v>- Dependency graph is available for a draft agent
- Duplicate warnings appear before submission
- Graph identifies external systems and reviewer dependencies</x:v>
      </x:c>
      <x:c r="J19" s="13" t="str">
        <x:v>P1 - Should Have</x:v>
      </x:c>
      <x:c r="K19" s="13" t="str">
        <x:v>Days 60-90 First Promotion</x:v>
      </x:c>
      <x:c r="L19" s="13" t="n">
        <x:v>8</x:v>
      </x:c>
      <x:c r="M19" s="13" t="str">
        <x:v>Backend Engineer</x:v>
      </x:c>
      <x:c r="N19" s="13" t="str">
        <x:v>AGOPS-E05; AGOPS-E10</x:v>
      </x:c>
      <x:c r="O19" s="13" t="str">
        <x:v>AntiDuplication, Catalog</x:v>
      </x:c>
      <x:c r="P19" s="13" t="str">
        <x:v>Proposed</x:v>
      </x:c>
      <x:c r="Q19" s="13" t="str"/>
    </x:row>
    <x:row r="20" ht="68" customHeight="1">
      <x:c r="A20" s="13" t="str">
        <x:v>AGOPS-019</x:v>
      </x:c>
      <x:c r="B20" s="13" t="str">
        <x:v>Story</x:v>
      </x:c>
      <x:c r="C20" s="13" t="str">
        <x:v>AGOPS-E08</x:v>
      </x:c>
      <x:c r="D20" s="13" t="str">
        <x:v>Control Plane</x:v>
      </x:c>
      <x:c r="E20" s="13" t="str">
        <x:v>Backend</x:v>
      </x:c>
      <x:c r="F20" s="13" t="str">
        <x:v>Build promotion workflow service for dev-to-staging-to-prod</x:v>
      </x:c>
      <x:c r="G20" s="13" t="str">
        <x:v>As a release owner, I want a controlled promotion workflow so that production agents meet governance gates.</x:v>
      </x:c>
      <x:c r="H20" s="13" t="str">
        <x:v>Implement promotion states, required approvals, evidence checks, eval gate, risk gate, audit destination and environment transition.</x:v>
      </x:c>
      <x:c r="I20" s="13" t="str">
        <x:v>- Promotion cannot proceed without required approvals
- Gate failures include actionable reason
- Promotion history is immutable and auditable</x:v>
      </x:c>
      <x:c r="J20" s="13" t="str">
        <x:v>P0 - Must Have</x:v>
      </x:c>
      <x:c r="K20" s="13" t="str">
        <x:v>Days 30-60 Onboard &amp; Build</x:v>
      </x:c>
      <x:c r="L20" s="13" t="n">
        <x:v>13</x:v>
      </x:c>
      <x:c r="M20" s="13" t="str">
        <x:v>Backend Engineer</x:v>
      </x:c>
      <x:c r="N20" s="13" t="str">
        <x:v>AGOPS-E15; AGOPS-E09</x:v>
      </x:c>
      <x:c r="O20" s="13" t="str">
        <x:v>ControlPlane, Promotion, MVP</x:v>
      </x:c>
      <x:c r="P20" s="13" t="str">
        <x:v>Proposed</x:v>
      </x:c>
      <x:c r="Q20" s="13" t="str"/>
    </x:row>
    <x:row r="21" ht="68" customHeight="1">
      <x:c r="A21" s="13" t="str">
        <x:v>AGOPS-020</x:v>
      </x:c>
      <x:c r="B21" s="13" t="str">
        <x:v>Story</x:v>
      </x:c>
      <x:c r="C21" s="13" t="str">
        <x:v>AGOPS-E08</x:v>
      </x:c>
      <x:c r="D21" s="13" t="str">
        <x:v>Control Plane</x:v>
      </x:c>
      <x:c r="E21" s="13" t="str">
        <x:v>Backend</x:v>
      </x:c>
      <x:c r="F21" s="13" t="str">
        <x:v>Implement RBAC and entitlements for agent lifecycle actions</x:v>
      </x:c>
      <x:c r="G21" s="13" t="str">
        <x:v>As an admin, I want role-based access so that only authorized users can create, edit, approve and deploy agents.</x:v>
      </x:c>
      <x:c r="H21" s="13" t="str">
        <x:v>Define roles for PM, developer, domain reviewer, hub reviewer, prod deployer, admin and read-only user.</x:v>
      </x:c>
      <x:c r="I21" s="13" t="str">
        <x:v>- Permissions enforce create/edit/review/promote/deploy actions
- Access is scoped by domain and environment
- Entitlement changes emit audit events</x:v>
      </x:c>
      <x:c r="J21" s="13" t="str">
        <x:v>P0 - Must Have</x:v>
      </x:c>
      <x:c r="K21" s="13" t="str">
        <x:v>Days 30-60 Onboard &amp; Build</x:v>
      </x:c>
      <x:c r="L21" s="13" t="n">
        <x:v>8</x:v>
      </x:c>
      <x:c r="M21" s="13" t="str">
        <x:v>Backend Engineer</x:v>
      </x:c>
      <x:c r="N21" s="13" t="str">
        <x:v>Enterprise Platform Partner</x:v>
      </x:c>
      <x:c r="O21" s="13" t="str">
        <x:v>RBAC, ControlPlane, MVP</x:v>
      </x:c>
      <x:c r="P21" s="13" t="str">
        <x:v>Proposed</x:v>
      </x:c>
      <x:c r="Q21" s="13" t="str"/>
    </x:row>
    <x:row r="22" ht="68" customHeight="1">
      <x:c r="A22" s="13" t="str">
        <x:v>AGOPS-021</x:v>
      </x:c>
      <x:c r="B22" s="13" t="str">
        <x:v>Story</x:v>
      </x:c>
      <x:c r="C22" s="13" t="str">
        <x:v>AGOPS-E08</x:v>
      </x:c>
      <x:c r="D22" s="13" t="str">
        <x:v>Control Plane</x:v>
      </x:c>
      <x:c r="E22" s="13" t="str">
        <x:v>Backend</x:v>
      </x:c>
      <x:c r="F22" s="13" t="str">
        <x:v>Create central audit event service</x:v>
      </x:c>
      <x:c r="G22" s="13" t="str">
        <x:v>As Risk/Compliance, I want every material agent lifecycle and runtime decision logged centrally.</x:v>
      </x:c>
      <x:c r="H22" s="13" t="str">
        <x:v>Capture create/edit/review/promote/deploy, model call, tool call, guardrail decision, HITL approval and rollback events.</x:v>
      </x:c>
      <x:c r="I22" s="13" t="str">
        <x:v>- Audit events include actor, timestamp, agent version, action, input classification and decision
- Audit API supports filtering by agent/run/action
- Events are append-only</x:v>
      </x:c>
      <x:c r="J22" s="13" t="str">
        <x:v>P0 - Must Have</x:v>
      </x:c>
      <x:c r="K22" s="13" t="str">
        <x:v>Days 30-60 Onboard &amp; Build</x:v>
      </x:c>
      <x:c r="L22" s="13" t="n">
        <x:v>13</x:v>
      </x:c>
      <x:c r="M22" s="13" t="str">
        <x:v>Backend Engineer</x:v>
      </x:c>
      <x:c r="N22" s="13" t="str">
        <x:v>AGOPS-E09</x:v>
      </x:c>
      <x:c r="O22" s="13" t="str">
        <x:v>Audit, ControlPlane, MVP</x:v>
      </x:c>
      <x:c r="P22" s="13" t="str">
        <x:v>Proposed</x:v>
      </x:c>
      <x:c r="Q22" s="13" t="str"/>
    </x:row>
    <x:row r="23" ht="68" customHeight="1">
      <x:c r="A23" s="13" t="str">
        <x:v>AGOPS-022</x:v>
      </x:c>
      <x:c r="B23" s="13" t="str">
        <x:v>Story</x:v>
      </x:c>
      <x:c r="C23" s="13" t="str">
        <x:v>AGOPS-E07</x:v>
      </x:c>
      <x:c r="D23" s="13" t="str">
        <x:v>Agent Runtime</x:v>
      </x:c>
      <x:c r="E23" s="13" t="str">
        <x:v>Backend</x:v>
      </x:c>
      <x:c r="F23" s="13" t="str">
        <x:v>Implement Google ADK pod runner baseline</x:v>
      </x:c>
      <x:c r="G23" s="13" t="str">
        <x:v>As a platform engineer, I want an ADK-based runner in pods so that promoted agents run through a standard runtime.</x:v>
      </x:c>
      <x:c r="H23" s="13" t="str">
        <x:v>Create runtime service that loads compiled manifest, initializes ADK agent graph, manages run lifecycle and exposes invoke API.</x:v>
      </x:c>
      <x:c r="I23" s="13" t="str">
        <x:v>- Runner executes one compiled MVP workflow
- Run status moves through created/running/waiting_review/completed/failed
- Runtime surfaces trace ID to UI and audit</x:v>
      </x:c>
      <x:c r="J23" s="13" t="str">
        <x:v>P0 - Must Have</x:v>
      </x:c>
      <x:c r="K23" s="13" t="str">
        <x:v>Days 60-90 First Promotion</x:v>
      </x:c>
      <x:c r="L23" s="13" t="n">
        <x:v>21</x:v>
      </x:c>
      <x:c r="M23" s="13" t="str">
        <x:v>Platform Engineer</x:v>
      </x:c>
      <x:c r="N23" s="13" t="str">
        <x:v>AGOPS-E06; AGOPS-E12</x:v>
      </x:c>
      <x:c r="O23" s="13" t="str">
        <x:v>Runtime, ADK, MVP</x:v>
      </x:c>
      <x:c r="P23" s="13" t="str">
        <x:v>Proposed</x:v>
      </x:c>
      <x:c r="Q23" s="13" t="str"/>
    </x:row>
    <x:row r="24" ht="68" customHeight="1">
      <x:c r="A24" s="13" t="str">
        <x:v>AGOPS-023</x:v>
      </x:c>
      <x:c r="B24" s="13" t="str">
        <x:v>Story</x:v>
      </x:c>
      <x:c r="C24" s="13" t="str">
        <x:v>AGOPS-E07</x:v>
      </x:c>
      <x:c r="D24" s="13" t="str">
        <x:v>Agent Runtime</x:v>
      </x:c>
      <x:c r="E24" s="13" t="str">
        <x:v>Backend</x:v>
      </x:c>
      <x:c r="F24" s="13" t="str">
        <x:v>Build agent run-state persistence</x:v>
      </x:c>
      <x:c r="G24" s="13" t="str">
        <x:v>As an operator, I want durable run state so that agent executions can resume or be inspected after failure.</x:v>
      </x:c>
      <x:c r="H24" s="13" t="str">
        <x:v>Persist run metadata, node state, tool decisions, approval wait state, final outcome and error details.</x:v>
      </x:c>
      <x:c r="I24" s="13" t="str">
        <x:v>- Run state is queryable by run ID
- Waiting approvals survive service restart
- Failed runs include recoverable/non-recoverable classification</x:v>
      </x:c>
      <x:c r="J24" s="13" t="str">
        <x:v>P0 - Must Have</x:v>
      </x:c>
      <x:c r="K24" s="13" t="str">
        <x:v>Days 60-90 First Promotion</x:v>
      </x:c>
      <x:c r="L24" s="13" t="n">
        <x:v>13</x:v>
      </x:c>
      <x:c r="M24" s="13" t="str">
        <x:v>Backend Engineer</x:v>
      </x:c>
      <x:c r="N24" s="13" t="str">
        <x:v>AGOPS-E07</x:v>
      </x:c>
      <x:c r="O24" s="13" t="str">
        <x:v>Runtime, Persistence, MVP</x:v>
      </x:c>
      <x:c r="P24" s="13" t="str">
        <x:v>Proposed</x:v>
      </x:c>
      <x:c r="Q24" s="13" t="str"/>
    </x:row>
    <x:row r="25" ht="68" customHeight="1">
      <x:c r="A25" s="13" t="str">
        <x:v>AGOPS-024</x:v>
      </x:c>
      <x:c r="B25" s="13" t="str">
        <x:v>Story</x:v>
      </x:c>
      <x:c r="C25" s="13" t="str">
        <x:v>AGOPS-E17</x:v>
      </x:c>
      <x:c r="D25" s="13" t="str">
        <x:v>Agent Runtime</x:v>
      </x:c>
      <x:c r="E25" s="13" t="str">
        <x:v>Backend</x:v>
      </x:c>
      <x:c r="F25" s="13" t="str">
        <x:v>Build COINS/R2D2 model gateway adapter</x:v>
      </x:c>
      <x:c r="G25" s="13" t="str">
        <x:v>As the runtime, I need a standard adapter to enterprise LLM gateways so that agents call approved external LLMs consistently.</x:v>
      </x:c>
      <x:c r="H25" s="13" t="str">
        <x:v>Implement adapter interface for model routing, auth, retries, token accounting, timeout handling and fallback policy.</x:v>
      </x:c>
      <x:c r="I25" s="13" t="str">
        <x:v>- Adapter supports Gemini route through approved gateway
- Timeout/retry policy is configurable
- Every call emits latency, token and cost telemetry</x:v>
      </x:c>
      <x:c r="J25" s="13" t="str">
        <x:v>P0 - Must Have</x:v>
      </x:c>
      <x:c r="K25" s="13" t="str">
        <x:v>Days 30-60 Onboard &amp; Build</x:v>
      </x:c>
      <x:c r="L25" s="13" t="n">
        <x:v>13</x:v>
      </x:c>
      <x:c r="M25" s="13" t="str">
        <x:v>Backend Engineer</x:v>
      </x:c>
      <x:c r="N25" s="13" t="str">
        <x:v>Enterprise Platform Partner</x:v>
      </x:c>
      <x:c r="O25" s="13" t="str">
        <x:v>COINS, R2D2, Gateway, MVP</x:v>
      </x:c>
      <x:c r="P25" s="13" t="str">
        <x:v>Proposed</x:v>
      </x:c>
      <x:c r="Q25" s="13" t="str"/>
    </x:row>
    <x:row r="26" ht="68" customHeight="1">
      <x:c r="A26" s="13" t="str">
        <x:v>AGOPS-025</x:v>
      </x:c>
      <x:c r="B26" s="13" t="str">
        <x:v>Story</x:v>
      </x:c>
      <x:c r="C26" s="13" t="str">
        <x:v>AGOPS-E09</x:v>
      </x:c>
      <x:c r="D26" s="13" t="str">
        <x:v>Control Plane</x:v>
      </x:c>
      <x:c r="E26" s="13" t="str">
        <x:v>Backend</x:v>
      </x:c>
      <x:c r="F26" s="13" t="str">
        <x:v>Implement runtime observability metrics pipeline</x:v>
      </x:c>
      <x:c r="G26" s="13" t="str">
        <x:v>As an operator, I want latency, cost, tokens, guardrail and refusal metrics so that production behavior is measurable.</x:v>
      </x:c>
      <x:c r="H26" s="13" t="str">
        <x:v>Emit metrics by agent, version, user/domain, environment, model, tool and policy decision.</x:v>
      </x:c>
      <x:c r="I26" s="13" t="str">
        <x:v>- Metrics include P50/P95 latency, token count, cost, refusal rate, guardrail trip rate and approval rate
- Metrics are correlated by trace ID
- Dashboards can filter by agent/version/domain</x:v>
      </x:c>
      <x:c r="J26" s="13" t="str">
        <x:v>P0 - Must Have</x:v>
      </x:c>
      <x:c r="K26" s="13" t="str">
        <x:v>Days 60-90 First Promotion</x:v>
      </x:c>
      <x:c r="L26" s="13" t="n">
        <x:v>13</x:v>
      </x:c>
      <x:c r="M26" s="13" t="str">
        <x:v>Backend Engineer</x:v>
      </x:c>
      <x:c r="N26" s="13" t="str">
        <x:v>AGOPS-E07; AGOPS-E08</x:v>
      </x:c>
      <x:c r="O26" s="13" t="str">
        <x:v>Observability, ControlPlane, MVP</x:v>
      </x:c>
      <x:c r="P26" s="13" t="str">
        <x:v>Proposed</x:v>
      </x:c>
      <x:c r="Q26" s="13" t="str"/>
    </x:row>
    <x:row r="27" ht="68" customHeight="1">
      <x:c r="A27" s="13" t="str">
        <x:v>AGOPS-026</x:v>
      </x:c>
      <x:c r="B27" s="13" t="str">
        <x:v>Story</x:v>
      </x:c>
      <x:c r="C27" s="13" t="str">
        <x:v>AGOPS-E09</x:v>
      </x:c>
      <x:c r="D27" s="13" t="str">
        <x:v>Control Plane</x:v>
      </x:c>
      <x:c r="E27" s="13" t="str">
        <x:v>Backend</x:v>
      </x:c>
      <x:c r="F27" s="13" t="str">
        <x:v>Build guardrail enforcement API</x:v>
      </x:c>
      <x:c r="G27" s="13" t="str">
        <x:v>As the runtime, I need an API that evaluates input/output/tool-call policy before consequential actions occur.</x:v>
      </x:c>
      <x:c r="H27" s="13" t="str">
        <x:v>Create guardrail checks for PII, toxicity, banned phrases, grounding/citation, schema validation, tool argument constraints and maker-check triggers.</x:v>
      </x:c>
      <x:c r="I27" s="13" t="str">
        <x:v>- Guardrail decisions are deterministic and auditable
- Blocking, redaction and review-routing decisions are supported
- Runtime can call guardrail API before model/tool execution</x:v>
      </x:c>
      <x:c r="J27" s="13" t="str">
        <x:v>P0 - Must Have</x:v>
      </x:c>
      <x:c r="K27" s="13" t="str">
        <x:v>Days 60-90 First Promotion</x:v>
      </x:c>
      <x:c r="L27" s="13" t="n">
        <x:v>13</x:v>
      </x:c>
      <x:c r="M27" s="13" t="str">
        <x:v>Backend Engineer</x:v>
      </x:c>
      <x:c r="N27" s="13" t="str">
        <x:v>AGOPS-E14</x:v>
      </x:c>
      <x:c r="O27" s="13" t="str">
        <x:v>Guardrails, ControlPlane, MVP</x:v>
      </x:c>
      <x:c r="P27" s="13" t="str">
        <x:v>Proposed</x:v>
      </x:c>
      <x:c r="Q27" s="13" t="str"/>
    </x:row>
    <x:row r="28" ht="68" customHeight="1">
      <x:c r="A28" s="13" t="str">
        <x:v>AGOPS-027</x:v>
      </x:c>
      <x:c r="B28" s="13" t="str">
        <x:v>Story</x:v>
      </x:c>
      <x:c r="C28" s="13" t="str">
        <x:v>AGOPS-E09</x:v>
      </x:c>
      <x:c r="D28" s="13" t="str">
        <x:v>Control Plane</x:v>
      </x:c>
      <x:c r="E28" s="13" t="str">
        <x:v>Backend</x:v>
      </x:c>
      <x:c r="F28" s="13" t="str">
        <x:v>Implement rollback and kill-switch for promoted agents</x:v>
      </x:c>
      <x:c r="G28" s="13" t="str">
        <x:v>As an operator, I want to pause or rollback an agent quickly when behavior becomes unsafe or unstable.</x:v>
      </x:c>
      <x:c r="H28" s="13" t="str">
        <x:v>Support disable, traffic pause, rollback to prior version, owner notification and audit record.</x:v>
      </x:c>
      <x:c r="I28" s="13" t="str">
        <x:v>- Admin can pause an agent by version
- Rollback emits audit and incident event
- Runtime refuses traffic for paused agents</x:v>
      </x:c>
      <x:c r="J28" s="13" t="str">
        <x:v>P0 - Must Have</x:v>
      </x:c>
      <x:c r="K28" s="13" t="str">
        <x:v>Days 60-90 First Promotion</x:v>
      </x:c>
      <x:c r="L28" s="13" t="n">
        <x:v>8</x:v>
      </x:c>
      <x:c r="M28" s="13" t="str">
        <x:v>Backend Engineer</x:v>
      </x:c>
      <x:c r="N28" s="13" t="str">
        <x:v>AGOPS-E07; AGOPS-E08</x:v>
      </x:c>
      <x:c r="O28" s="13" t="str">
        <x:v>Ops, Rollback, MVP</x:v>
      </x:c>
      <x:c r="P28" s="13" t="str">
        <x:v>Proposed</x:v>
      </x:c>
      <x:c r="Q28" s="13" t="str"/>
    </x:row>
    <x:row r="29" ht="68" customHeight="1">
      <x:c r="A29" s="13" t="str">
        <x:v>AGOPS-028</x:v>
      </x:c>
      <x:c r="B29" s="13" t="str">
        <x:v>Story</x:v>
      </x:c>
      <x:c r="C29" s="13" t="str">
        <x:v>AGOPS-E08</x:v>
      </x:c>
      <x:c r="D29" s="13" t="str">
        <x:v>Control Plane</x:v>
      </x:c>
      <x:c r="E29" s="13" t="str">
        <x:v>Backend</x:v>
      </x:c>
      <x:c r="F29" s="13" t="str">
        <x:v>Implement environment and secrets configuration management</x:v>
      </x:c>
      <x:c r="G29" s="13" t="str">
        <x:v>As a platform engineer, I want environment-specific runtime configuration so that secrets and endpoints are safe across dev/staging/prod.</x:v>
      </x:c>
      <x:c r="H29" s="13" t="str">
        <x:v>Manage environment variables, gateway endpoints, service accounts, secrets references, policy toggles and sandbox/prod tool routes.</x:v>
      </x:c>
      <x:c r="I29" s="13" t="str">
        <x:v>- No secret is stored in agent YAML
- Environment config is versioned and auditable
- Compiler/runtime receives only scoped secret references</x:v>
      </x:c>
      <x:c r="J29" s="13" t="str">
        <x:v>P0 - Must Have</x:v>
      </x:c>
      <x:c r="K29" s="13" t="str">
        <x:v>Days 30-60 Onboard &amp; Build</x:v>
      </x:c>
      <x:c r="L29" s="13" t="n">
        <x:v>8</x:v>
      </x:c>
      <x:c r="M29" s="13" t="str">
        <x:v>Platform Engineer</x:v>
      </x:c>
      <x:c r="N29" s="13" t="str">
        <x:v>Enterprise Platform Partner</x:v>
      </x:c>
      <x:c r="O29" s="13" t="str">
        <x:v>Secrets, Runtime, MVP</x:v>
      </x:c>
      <x:c r="P29" s="13" t="str">
        <x:v>Proposed</x:v>
      </x:c>
      <x:c r="Q29" s="13" t="str"/>
    </x:row>
    <x:row r="30" ht="68" customHeight="1">
      <x:c r="A30" s="13" t="str">
        <x:v>AGOPS-029</x:v>
      </x:c>
      <x:c r="B30" s="13" t="str">
        <x:v>Story</x:v>
      </x:c>
      <x:c r="C30" s="13" t="str">
        <x:v>AGOPS-E10</x:v>
      </x:c>
      <x:c r="D30" s="13" t="str">
        <x:v>MCP</x:v>
      </x:c>
      <x:c r="E30" s="13" t="str">
        <x:v>Backend</x:v>
      </x:c>
      <x:c r="F30" s="13" t="str">
        <x:v>Create MCP tool registry service</x:v>
      </x:c>
      <x:c r="G30" s="13" t="str">
        <x:v>As a developer, I want a single tool registry so that agents discover approved tools without duplicating integrations.</x:v>
      </x:c>
      <x:c r="H30" s="13" t="str">
        <x:v>Registry captures tool name, purpose, domain, owner, JSON schema, auth scope, environment, risk tier and status.</x:v>
      </x:c>
      <x:c r="I30" s="13" t="str">
        <x:v>- Tool metadata is searchable
- Tool ownership and reviewer pool are required
- Only approved tools are exposed to promotion-ready agents</x:v>
      </x:c>
      <x:c r="J30" s="13" t="str">
        <x:v>P0 - Must Have</x:v>
      </x:c>
      <x:c r="K30" s="13" t="str">
        <x:v>Days 30-60 Onboard &amp; Build</x:v>
      </x:c>
      <x:c r="L30" s="13" t="n">
        <x:v>13</x:v>
      </x:c>
      <x:c r="M30" s="13" t="str">
        <x:v>Backend Engineer</x:v>
      </x:c>
      <x:c r="N30" s="13" t="str">
        <x:v>Enterprise Platform Partner</x:v>
      </x:c>
      <x:c r="O30" s="13" t="str">
        <x:v>MCP, ToolRegistry, MVP</x:v>
      </x:c>
      <x:c r="P30" s="13" t="str">
        <x:v>Proposed</x:v>
      </x:c>
      <x:c r="Q30" s="13" t="str"/>
    </x:row>
    <x:row r="31" ht="68" customHeight="1">
      <x:c r="A31" s="13" t="str">
        <x:v>AGOPS-030</x:v>
      </x:c>
      <x:c r="B31" s="13" t="str">
        <x:v>Story</x:v>
      </x:c>
      <x:c r="C31" s="13" t="str">
        <x:v>AGOPS-E10</x:v>
      </x:c>
      <x:c r="D31" s="13" t="str">
        <x:v>MCP</x:v>
      </x:c>
      <x:c r="E31" s="13" t="str">
        <x:v>Backend</x:v>
      </x:c>
      <x:c r="F31" s="13" t="str">
        <x:v>Build OpenAPI/connector import into MCP tool schema</x:v>
      </x:c>
      <x:c r="G31" s="13" t="str">
        <x:v>As a tool author, I want to import an existing API contract so that tool registration is fast and consistent.</x:v>
      </x:c>
      <x:c r="H31" s="13" t="str">
        <x:v>Parse OpenAPI contracts and connector metadata into tool definition with schema, method, endpoint, auth and sample payloads.</x:v>
      </x:c>
      <x:c r="I31" s="13" t="str">
        <x:v>- Importer maps endpoint schema to JSON schema
- Imported tool can be reviewed before approval
- Unsupported patterns produce clear warnings</x:v>
      </x:c>
      <x:c r="J31" s="13" t="str">
        <x:v>P1 - Should Have</x:v>
      </x:c>
      <x:c r="K31" s="13" t="str">
        <x:v>Days 30-60 Onboard &amp; Build</x:v>
      </x:c>
      <x:c r="L31" s="13" t="n">
        <x:v>13</x:v>
      </x:c>
      <x:c r="M31" s="13" t="str">
        <x:v>Backend Engineer</x:v>
      </x:c>
      <x:c r="N31" s="13" t="str">
        <x:v>AGOPS-E10</x:v>
      </x:c>
      <x:c r="O31" s="13" t="str">
        <x:v>MCP, OpenAPI</x:v>
      </x:c>
      <x:c r="P31" s="13" t="str">
        <x:v>Proposed</x:v>
      </x:c>
      <x:c r="Q31" s="13" t="str"/>
    </x:row>
    <x:row r="32" ht="68" customHeight="1">
      <x:c r="A32" s="13" t="str">
        <x:v>AGOPS-031</x:v>
      </x:c>
      <x:c r="B32" s="13" t="str">
        <x:v>Story</x:v>
      </x:c>
      <x:c r="C32" s="13" t="str">
        <x:v>AGOPS-E10</x:v>
      </x:c>
      <x:c r="D32" s="13" t="str">
        <x:v>MCP</x:v>
      </x:c>
      <x:c r="E32" s="13" t="str">
        <x:v>Backend</x:v>
      </x:c>
      <x:c r="F32" s="13" t="str">
        <x:v>Validate tool signatures and JSON schemas</x:v>
      </x:c>
      <x:c r="G32" s="13" t="str">
        <x:v>As a hub reviewer, I want tool schemas validated so that malformed calls cannot reach downstream systems.</x:v>
      </x:c>
      <x:c r="H32" s="13" t="str">
        <x:v>Validate input/output schemas, required fields, examples, data classification tags and action risk level.</x:v>
      </x:c>
      <x:c r="I32" s="13" t="str">
        <x:v>- Invalid schema blocks tool submission
- Schema validation result is stored with tool version
- Validator catches missing auth scope and owner</x:v>
      </x:c>
      <x:c r="J32" s="13" t="str">
        <x:v>P0 - Must Have</x:v>
      </x:c>
      <x:c r="K32" s="13" t="str">
        <x:v>Days 30-60 Onboard &amp; Build</x:v>
      </x:c>
      <x:c r="L32" s="13" t="n">
        <x:v>8</x:v>
      </x:c>
      <x:c r="M32" s="13" t="str">
        <x:v>Backend Engineer</x:v>
      </x:c>
      <x:c r="N32" s="13" t="str">
        <x:v>AGOPS-E10</x:v>
      </x:c>
      <x:c r="O32" s="13" t="str">
        <x:v>MCP, Validation, MVP</x:v>
      </x:c>
      <x:c r="P32" s="13" t="str">
        <x:v>Proposed</x:v>
      </x:c>
      <x:c r="Q32" s="13" t="str"/>
    </x:row>
    <x:row r="33" ht="68" customHeight="1">
      <x:c r="A33" s="13" t="str">
        <x:v>AGOPS-032</x:v>
      </x:c>
      <x:c r="B33" s="13" t="str">
        <x:v>Story</x:v>
      </x:c>
      <x:c r="C33" s="13" t="str">
        <x:v>AGOPS-E10</x:v>
      </x:c>
      <x:c r="D33" s="13" t="str">
        <x:v>MCP</x:v>
      </x:c>
      <x:c r="E33" s="13" t="str">
        <x:v>Backend</x:v>
      </x:c>
      <x:c r="F33" s="13" t="str">
        <x:v>Build MCP sandbox and tool-call test harness</x:v>
      </x:c>
      <x:c r="G33" s="13" t="str">
        <x:v>As a developer, I want to test tool calls safely so that tool behavior is proven before approval.</x:v>
      </x:c>
      <x:c r="H33" s="13" t="str">
        <x:v>Allow sample inputs, mocked downstream calls, expected outputs and failure-mode tests from registry UI/API.</x:v>
      </x:c>
      <x:c r="I33" s="13" t="str">
        <x:v>- Tool calls run in sandbox by default
- Test result includes request, response, latency and errors
- Approved samples become regression tests</x:v>
      </x:c>
      <x:c r="J33" s="13" t="str">
        <x:v>P1 - Should Have</x:v>
      </x:c>
      <x:c r="K33" s="13" t="str">
        <x:v>Days 60-90 First Promotion</x:v>
      </x:c>
      <x:c r="L33" s="13" t="n">
        <x:v>8</x:v>
      </x:c>
      <x:c r="M33" s="13" t="str">
        <x:v>Backend Engineer</x:v>
      </x:c>
      <x:c r="N33" s="13" t="str">
        <x:v>AGOPS-E10; AGOPS-E09</x:v>
      </x:c>
      <x:c r="O33" s="13" t="str">
        <x:v>MCP, Testing</x:v>
      </x:c>
      <x:c r="P33" s="13" t="str">
        <x:v>Proposed</x:v>
      </x:c>
      <x:c r="Q33" s="13" t="str"/>
    </x:row>
    <x:row r="34" ht="68" customHeight="1">
      <x:c r="A34" s="13" t="str">
        <x:v>AGOPS-033</x:v>
      </x:c>
      <x:c r="B34" s="13" t="str">
        <x:v>Story</x:v>
      </x:c>
      <x:c r="C34" s="13" t="str">
        <x:v>AGOPS-E10</x:v>
      </x:c>
      <x:c r="D34" s="13" t="str">
        <x:v>MCP</x:v>
      </x:c>
      <x:c r="E34" s="13" t="str">
        <x:v>Backend</x:v>
      </x:c>
      <x:c r="F34" s="13" t="str">
        <x:v>Implement tool versioning, deprecation and duplicate warnings</x:v>
      </x:c>
      <x:c r="G34" s="13" t="str">
        <x:v>As the Hub, I want to prevent parallel registries and stale tools so that domains contribute upstream.</x:v>
      </x:c>
      <x:c r="H34" s="13" t="str">
        <x:v>Add semantic versioning, deprecation flags, replacement tool links, duplicate signature checks and quarterly review metadata.</x:v>
      </x:c>
      <x:c r="I34" s="13" t="str">
        <x:v>- Deprecated tool cannot be selected for new agents
- Duplicate warnings include candidate matching tools
- Tool owners receive deprecation notifications</x:v>
      </x:c>
      <x:c r="J34" s="13" t="str">
        <x:v>P1 - Should Have</x:v>
      </x:c>
      <x:c r="K34" s="13" t="str">
        <x:v>Days 60-90 First Promotion</x:v>
      </x:c>
      <x:c r="L34" s="13" t="n">
        <x:v>8</x:v>
      </x:c>
      <x:c r="M34" s="13" t="str">
        <x:v>Backend Engineer</x:v>
      </x:c>
      <x:c r="N34" s="13" t="str">
        <x:v>AGOPS-E10</x:v>
      </x:c>
      <x:c r="O34" s="13" t="str">
        <x:v>MCP, AntiDuplication</x:v>
      </x:c>
      <x:c r="P34" s="13" t="str">
        <x:v>Proposed</x:v>
      </x:c>
      <x:c r="Q34" s="13" t="str"/>
    </x:row>
    <x:row r="35" ht="68" customHeight="1">
      <x:c r="A35" s="13" t="str">
        <x:v>AGOPS-034</x:v>
      </x:c>
      <x:c r="B35" s="13" t="str">
        <x:v>Story</x:v>
      </x:c>
      <x:c r="C35" s="13" t="str">
        <x:v>AGOPS-E10</x:v>
      </x:c>
      <x:c r="D35" s="13" t="str">
        <x:v>MCP</x:v>
      </x:c>
      <x:c r="E35" s="13" t="str">
        <x:v>Backend</x:v>
      </x:c>
      <x:c r="F35" s="13" t="str">
        <x:v>Emit MCP tool usage telemetry</x:v>
      </x:c>
      <x:c r="G35" s="13" t="str">
        <x:v>As a platform owner, I want usage telemetry by tool so that adoption, friction and retirement candidates are visible.</x:v>
      </x:c>
      <x:c r="H35" s="13" t="str">
        <x:v>Track calls, errors, latency, invoking agents, domains, auth failures and reviewer interventions.</x:v>
      </x:c>
      <x:c r="I35" s="13" t="str">
        <x:v>- Tool telemetry joins agent trace ID
- Tool usage dashboard supports quarterly review
- High-error tools are flagged</x:v>
      </x:c>
      <x:c r="J35" s="13" t="str">
        <x:v>P1 - Should Have</x:v>
      </x:c>
      <x:c r="K35" s="13" t="str">
        <x:v>Days 60-90 First Promotion</x:v>
      </x:c>
      <x:c r="L35" s="13" t="n">
        <x:v>5</x:v>
      </x:c>
      <x:c r="M35" s="13" t="str">
        <x:v>Backend Engineer</x:v>
      </x:c>
      <x:c r="N35" s="13" t="str">
        <x:v>AGOPS-E09</x:v>
      </x:c>
      <x:c r="O35" s="13" t="str">
        <x:v>MCP, Observability</x:v>
      </x:c>
      <x:c r="P35" s="13" t="str">
        <x:v>Proposed</x:v>
      </x:c>
      <x:c r="Q35" s="13" t="str"/>
    </x:row>
    <x:row r="36" ht="68" customHeight="1">
      <x:c r="A36" s="13" t="str">
        <x:v>AGOPS-035</x:v>
      </x:c>
      <x:c r="B36" s="13" t="str">
        <x:v>Story</x:v>
      </x:c>
      <x:c r="C36" s="13" t="str">
        <x:v>AGOPS-E14</x:v>
      </x:c>
      <x:c r="D36" s="13" t="str">
        <x:v>Development Plane</x:v>
      </x:c>
      <x:c r="E36" s="13" t="str">
        <x:v>Data Science</x:v>
      </x:c>
      <x:c r="F36" s="13" t="str">
        <x:v>Define prompt engineering standards and lint rules</x:v>
      </x:c>
      <x:c r="G36" s="13" t="str">
        <x:v>As a DS lead, I want prompt standards so that prompts behave consistently and can be reviewed like code.</x:v>
      </x:c>
      <x:c r="H36" s="13" t="str">
        <x:v>Define conventions for system instructions, refusal patterns, tool-use guidance, retrieval instructions, examples and prohibited content.</x:v>
      </x:c>
      <x:c r="I36" s="13" t="str">
        <x:v>- Lint rules cover length, banned phrases, missing refusal floor, missing tool guidance and secrets
- Rules map to UI warnings and promotion gates
- Standards document is reviewed by Hub and Risk</x:v>
      </x:c>
      <x:c r="J36" s="13" t="str">
        <x:v>P0 - Must Have</x:v>
      </x:c>
      <x:c r="K36" s="13" t="str">
        <x:v>Days 0-30 Foundations</x:v>
      </x:c>
      <x:c r="L36" s="13" t="n">
        <x:v>5</x:v>
      </x:c>
      <x:c r="M36" s="13" t="str">
        <x:v>Data Scientist</x:v>
      </x:c>
      <x:c r="N36" s="13" t="str"/>
      <x:c r="O36" s="13" t="str">
        <x:v>Prompts, Standards, MVP</x:v>
      </x:c>
      <x:c r="P36" s="13" t="str">
        <x:v>Proposed</x:v>
      </x:c>
      <x:c r="Q36" s="13" t="str"/>
    </x:row>
    <x:row r="37" ht="68" customHeight="1">
      <x:c r="A37" s="13" t="str">
        <x:v>AGOPS-036</x:v>
      </x:c>
      <x:c r="B37" s="13" t="str">
        <x:v>Story</x:v>
      </x:c>
      <x:c r="C37" s="13" t="str">
        <x:v>AGOPS-E14</x:v>
      </x:c>
      <x:c r="D37" s="13" t="str">
        <x:v>Development Plane</x:v>
      </x:c>
      <x:c r="E37" s="13" t="str">
        <x:v>Data Science</x:v>
      </x:c>
      <x:c r="F37" s="13" t="str">
        <x:v>Create base persona library and no-fork policy</x:v>
      </x:c>
      <x:c r="G37" s="13" t="str">
        <x:v>As the Hub, I want shared base personas so that teams inherit consistent behavior and do not create private personas.</x:v>
      </x:c>
      <x:c r="H37" s="13" t="str">
        <x:v>Define 6-10 base personas with tone, role scope, refusal floor, allowed model families, guardrails and owner.</x:v>
      </x:c>
      <x:c r="I37" s="13" t="str">
        <x:v>- Base personas are versioned
- New persona requests require ARB approval
- MVP agents inherit an approved base persona</x:v>
      </x:c>
      <x:c r="J37" s="13" t="str">
        <x:v>P0 - Must Have</x:v>
      </x:c>
      <x:c r="K37" s="13" t="str">
        <x:v>Days 0-30 Foundations</x:v>
      </x:c>
      <x:c r="L37" s="13" t="n">
        <x:v>8</x:v>
      </x:c>
      <x:c r="M37" s="13" t="str">
        <x:v>DS Lead</x:v>
      </x:c>
      <x:c r="N37" s="13" t="str">
        <x:v>Risk/Compliance Partner</x:v>
      </x:c>
      <x:c r="O37" s="13" t="str">
        <x:v>Personas, Governance, MVP</x:v>
      </x:c>
      <x:c r="P37" s="13" t="str">
        <x:v>Proposed</x:v>
      </x:c>
      <x:c r="Q37" s="13" t="str"/>
    </x:row>
    <x:row r="38" ht="68" customHeight="1">
      <x:c r="A38" s="13" t="str">
        <x:v>AGOPS-037</x:v>
      </x:c>
      <x:c r="B38" s="13" t="str">
        <x:v>Story</x:v>
      </x:c>
      <x:c r="C38" s="13" t="str">
        <x:v>AGOPS-E14</x:v>
      </x:c>
      <x:c r="D38" s="13" t="str">
        <x:v>Control Plane</x:v>
      </x:c>
      <x:c r="E38" s="13" t="str">
        <x:v>Data Science</x:v>
      </x:c>
      <x:c r="F38" s="13" t="str">
        <x:v>Define maker-checker policy taxonomy</x:v>
      </x:c>
      <x:c r="G38" s="13" t="str">
        <x:v>As Risk and PMs, we need a common policy taxonomy so that human approvals are configured consistently.</x:v>
      </x:c>
      <x:c r="H38" s="13" t="str">
        <x:v>Define policy rules by action criticality, model confidence, data classification, downstream side effect and user entitlement.</x:v>
      </x:c>
      <x:c r="I38" s="13" t="str">
        <x:v>- Taxonomy supports approve/reject/edit/escalate
- Rules map to UI policy screen and guardrail API
- High-risk actions default to human approval</x:v>
      </x:c>
      <x:c r="J38" s="13" t="str">
        <x:v>P0 - Must Have</x:v>
      </x:c>
      <x:c r="K38" s="13" t="str">
        <x:v>Days 0-30 Foundations</x:v>
      </x:c>
      <x:c r="L38" s="13" t="n">
        <x:v>8</x:v>
      </x:c>
      <x:c r="M38" s="13" t="str">
        <x:v>DS Lead</x:v>
      </x:c>
      <x:c r="N38" s="13" t="str">
        <x:v>Risk/Compliance Partner</x:v>
      </x:c>
      <x:c r="O38" s="13" t="str">
        <x:v>Policy, MakerChecker, MVP</x:v>
      </x:c>
      <x:c r="P38" s="13" t="str">
        <x:v>Proposed</x:v>
      </x:c>
      <x:c r="Q38" s="13" t="str"/>
    </x:row>
    <x:row r="39" ht="68" customHeight="1">
      <x:c r="A39" s="13" t="str">
        <x:v>AGOPS-038</x:v>
      </x:c>
      <x:c r="B39" s="13" t="str">
        <x:v>Story</x:v>
      </x:c>
      <x:c r="C39" s="13" t="str">
        <x:v>AGOPS-E15</x:v>
      </x:c>
      <x:c r="D39" s="13" t="str">
        <x:v>Control Plane</x:v>
      </x:c>
      <x:c r="E39" s="13" t="str">
        <x:v>Data Science</x:v>
      </x:c>
      <x:c r="F39" s="13" t="str">
        <x:v>Define golden-set schema and authoring process</x:v>
      </x:c>
      <x:c r="G39" s="13" t="str">
        <x:v>As a DS evaluator, I want a common golden-set schema so that agents are evaluated consistently before promotion.</x:v>
      </x:c>
      <x:c r="H39" s="13" t="str">
        <x:v>Specify examples, inputs, expected outputs, allowed tool calls, refusal cases, retrieval evidence and scoring metadata.</x:v>
      </x:c>
      <x:c r="I39" s="13" t="str">
        <x:v>- Golden set schema is versioned
- Schema supports exact, semantic and tool-call assertions
- Domain teams can contribute golden sets for Hub review</x:v>
      </x:c>
      <x:c r="J39" s="13" t="str">
        <x:v>P0 - Must Have</x:v>
      </x:c>
      <x:c r="K39" s="13" t="str">
        <x:v>Days 30-60 Onboard &amp; Build</x:v>
      </x:c>
      <x:c r="L39" s="13" t="n">
        <x:v>8</x:v>
      </x:c>
      <x:c r="M39" s="13" t="str">
        <x:v>Data Scientist</x:v>
      </x:c>
      <x:c r="N39" s="13" t="str">
        <x:v>Domain SMEs</x:v>
      </x:c>
      <x:c r="O39" s="13" t="str">
        <x:v>Evals, GoldenSets, MVP</x:v>
      </x:c>
      <x:c r="P39" s="13" t="str">
        <x:v>Proposed</x:v>
      </x:c>
      <x:c r="Q39" s="13" t="str"/>
    </x:row>
    <x:row r="40" ht="68" customHeight="1">
      <x:c r="A40" s="13" t="str">
        <x:v>AGOPS-039</x:v>
      </x:c>
      <x:c r="B40" s="13" t="str">
        <x:v>Story</x:v>
      </x:c>
      <x:c r="C40" s="13" t="str">
        <x:v>AGOPS-E15</x:v>
      </x:c>
      <x:c r="D40" s="13" t="str">
        <x:v>Control Plane</x:v>
      </x:c>
      <x:c r="E40" s="13" t="str">
        <x:v>Data Science</x:v>
      </x:c>
      <x:c r="F40" s="13" t="str">
        <x:v>Build evaluation metrics specification and promotion thresholds</x:v>
      </x:c>
      <x:c r="G40" s="13" t="str">
        <x:v>As the Hub, I want quantifiable eval gates so that promotions are evidence-based.</x:v>
      </x:c>
      <x:c r="H40" s="13" t="str">
        <x:v>Define metrics for task success, correctness, faithfulness/grounding, tool-call quality, refusal behavior, latency, cost and red-team pass rate.</x:v>
      </x:c>
      <x:c r="I40" s="13" t="str">
        <x:v>- MVP promotion thresholds are documented
- Regression tolerance is defined per metric
- Thresholds map to promotion workflow gates</x:v>
      </x:c>
      <x:c r="J40" s="13" t="str">
        <x:v>P0 - Must Have</x:v>
      </x:c>
      <x:c r="K40" s="13" t="str">
        <x:v>Days 30-60 Onboard &amp; Build</x:v>
      </x:c>
      <x:c r="L40" s="13" t="n">
        <x:v>8</x:v>
      </x:c>
      <x:c r="M40" s="13" t="str">
        <x:v>DS Lead</x:v>
      </x:c>
      <x:c r="N40" s="13" t="str">
        <x:v>AGOPS-E08</x:v>
      </x:c>
      <x:c r="O40" s="13" t="str">
        <x:v>Evals, Promotion, MVP</x:v>
      </x:c>
      <x:c r="P40" s="13" t="str">
        <x:v>Proposed</x:v>
      </x:c>
      <x:c r="Q40" s="13" t="str"/>
    </x:row>
    <x:row r="41" ht="68" customHeight="1">
      <x:c r="A41" s="13" t="str">
        <x:v>AGOPS-040</x:v>
      </x:c>
      <x:c r="B41" s="13" t="str">
        <x:v>Story</x:v>
      </x:c>
      <x:c r="C41" s="13" t="str">
        <x:v>AGOPS-E15</x:v>
      </x:c>
      <x:c r="D41" s="13" t="str">
        <x:v>Control Plane</x:v>
      </x:c>
      <x:c r="E41" s="13" t="str">
        <x:v>Data Science</x:v>
      </x:c>
      <x:c r="F41" s="13" t="str">
        <x:v>Create AI-as-judge rubric and calibration protocol</x:v>
      </x:c>
      <x:c r="G41" s="13" t="str">
        <x:v>As a DS evaluator, I want an AI judge rubric so that qualitative answers can be scored at scale with controlled bias.</x:v>
      </x:c>
      <x:c r="H41" s="13" t="str">
        <x:v>Create rubric for response quality, policy adherence, evidence use, tool selection and refusal correctness; define sampling and calibration.</x:v>
      </x:c>
      <x:c r="I41" s="13" t="str">
        <x:v>- Rubric has pass/fail and scored dimensions
- Human spot-check sample is defined
- Judge output is logged with model/version/rubric ID</x:v>
      </x:c>
      <x:c r="J41" s="13" t="str">
        <x:v>P1 - Should Have</x:v>
      </x:c>
      <x:c r="K41" s="13" t="str">
        <x:v>Days 30-60 Onboard &amp; Build</x:v>
      </x:c>
      <x:c r="L41" s="13" t="n">
        <x:v>8</x:v>
      </x:c>
      <x:c r="M41" s="13" t="str">
        <x:v>Data Scientist</x:v>
      </x:c>
      <x:c r="N41" s="13" t="str">
        <x:v>AGOPS-E15</x:v>
      </x:c>
      <x:c r="O41" s="13" t="str">
        <x:v>AIJudge, Evals</x:v>
      </x:c>
      <x:c r="P41" s="13" t="str">
        <x:v>Proposed</x:v>
      </x:c>
      <x:c r="Q41" s="13" t="str"/>
    </x:row>
    <x:row r="42" ht="68" customHeight="1">
      <x:c r="A42" s="13" t="str">
        <x:v>AGOPS-041</x:v>
      </x:c>
      <x:c r="B42" s="13" t="str">
        <x:v>Story</x:v>
      </x:c>
      <x:c r="C42" s="13" t="str">
        <x:v>AGOPS-E14</x:v>
      </x:c>
      <x:c r="D42" s="13" t="str">
        <x:v>Control Plane</x:v>
      </x:c>
      <x:c r="E42" s="13" t="str">
        <x:v>Data Science</x:v>
      </x:c>
      <x:c r="F42" s="13" t="str">
        <x:v>Create red-team and guardrail policy packs</x:v>
      </x:c>
      <x:c r="G42" s="13" t="str">
        <x:v>As Risk/Compliance, I want red-team suites and guardrails so that sensitive and unsafe behaviors are caught before deployment.</x:v>
      </x:c>
      <x:c r="H42" s="13" t="str">
        <x:v>Curate PII, data leakage, prompt injection, harmful output, unauthorized tool-use and schema-violation tests.</x:v>
      </x:c>
      <x:c r="I42" s="13" t="str">
        <x:v>- Red-team tests can be run in eval harness
- Guardrail packs are versioned and linked to policy taxonomy
- Critical failures block promotion</x:v>
      </x:c>
      <x:c r="J42" s="13" t="str">
        <x:v>P0 - Must Have</x:v>
      </x:c>
      <x:c r="K42" s="13" t="str">
        <x:v>Days 30-60 Onboard &amp; Build</x:v>
      </x:c>
      <x:c r="L42" s="13" t="n">
        <x:v>13</x:v>
      </x:c>
      <x:c r="M42" s="13" t="str">
        <x:v>Data Scientist</x:v>
      </x:c>
      <x:c r="N42" s="13" t="str">
        <x:v>Risk/Compliance Partner</x:v>
      </x:c>
      <x:c r="O42" s="13" t="str">
        <x:v>Guardrails, RedTeam, MVP</x:v>
      </x:c>
      <x:c r="P42" s="13" t="str">
        <x:v>Proposed</x:v>
      </x:c>
      <x:c r="Q42" s="13" t="str"/>
    </x:row>
    <x:row r="43" ht="68" customHeight="1">
      <x:c r="A43" s="13" t="str">
        <x:v>AGOPS-042</x:v>
      </x:c>
      <x:c r="B43" s="13" t="str">
        <x:v>Story</x:v>
      </x:c>
      <x:c r="C43" s="13" t="str">
        <x:v>AGOPS-E15</x:v>
      </x:c>
      <x:c r="D43" s="13" t="str">
        <x:v>Control Plane</x:v>
      </x:c>
      <x:c r="E43" s="13" t="str">
        <x:v>Data Science</x:v>
      </x:c>
      <x:c r="F43" s="13" t="str">
        <x:v>Define drift, cost and quality alert thresholds</x:v>
      </x:c>
      <x:c r="G43" s="13" t="str">
        <x:v>As an operator, I want thresholds for drift and quality degradation so that production agents are monitored objectively.</x:v>
      </x:c>
      <x:c r="H43" s="13" t="str">
        <x:v>Define monitoring baselines, daily drift checks, P50/P95 latency thresholds, cost/session limits and eval re-run triggers.</x:v>
      </x:c>
      <x:c r="I43" s="13" t="str">
        <x:v>- Alert thresholds are documented per MVP agent
- Thresholds are consumed by observability pipeline
- Alerts route to owner and Hub triage</x:v>
      </x:c>
      <x:c r="J43" s="13" t="str">
        <x:v>P1 - Should Have</x:v>
      </x:c>
      <x:c r="K43" s="13" t="str">
        <x:v>Days 60-90 First Promotion</x:v>
      </x:c>
      <x:c r="L43" s="13" t="n">
        <x:v>8</x:v>
      </x:c>
      <x:c r="M43" s="13" t="str">
        <x:v>DS Lead</x:v>
      </x:c>
      <x:c r="N43" s="13" t="str">
        <x:v>AGOPS-E09</x:v>
      </x:c>
      <x:c r="O43" s="13" t="str">
        <x:v>Monitoring, Drift</x:v>
      </x:c>
      <x:c r="P43" s="13" t="str">
        <x:v>Proposed</x:v>
      </x:c>
      <x:c r="Q43" s="13" t="str"/>
    </x:row>
    <x:row r="44" ht="68" customHeight="1">
      <x:c r="A44" s="13" t="str">
        <x:v>AGOPS-043</x:v>
      </x:c>
      <x:c r="B44" s="13" t="str">
        <x:v>Spike</x:v>
      </x:c>
      <x:c r="C44" s="13" t="str">
        <x:v>AGOPS-E16</x:v>
      </x:c>
      <x:c r="D44" s="13" t="str">
        <x:v>Development Plane</x:v>
      </x:c>
      <x:c r="E44" s="13" t="str">
        <x:v>Data Science Exploration</x:v>
      </x:c>
      <x:c r="F44" s="13" t="str">
        <x:v>Spike: compare agentic workflow patterns for MVP templates</x:v>
      </x:c>
      <x:c r="G44" s="13" t="str">
        <x:v>As the DS exploration team, we want to compare patterns so that the first templates are practical and safe.</x:v>
      </x:c>
      <x:c r="H44" s="13" t="str">
        <x:v>Evaluate router/delegator, planner-executor, single-agent tool-calling, RAG-grounded assistant and maker-checker workflows against representative use cases.</x:v>
      </x:c>
      <x:c r="I44" s="13" t="str">
        <x:v>- Comparison includes complexity, latency, observability, risk and reuse
- Recommendation identifies 2 flagship templates
- Findings convert into hardening stories</x:v>
      </x:c>
      <x:c r="J44" s="13" t="str">
        <x:v>P0 - Must Have</x:v>
      </x:c>
      <x:c r="K44" s="13" t="str">
        <x:v>Days 0-30 Foundations</x:v>
      </x:c>
      <x:c r="L44" s="13" t="n">
        <x:v>8</x:v>
      </x:c>
      <x:c r="M44" s="13" t="str">
        <x:v>DS Exploration Lead</x:v>
      </x:c>
      <x:c r="N44" s="13" t="str"/>
      <x:c r="O44" s="13" t="str">
        <x:v>Spike, Templates, MVP</x:v>
      </x:c>
      <x:c r="P44" s="13" t="str">
        <x:v>Proposed</x:v>
      </x:c>
      <x:c r="Q44" s="13" t="str"/>
    </x:row>
    <x:row r="45" ht="68" customHeight="1">
      <x:c r="A45" s="13" t="str">
        <x:v>AGOPS-044</x:v>
      </x:c>
      <x:c r="B45" s="13" t="str">
        <x:v>Spike</x:v>
      </x:c>
      <x:c r="C45" s="13" t="str">
        <x:v>AGOPS-E16</x:v>
      </x:c>
      <x:c r="D45" s="13" t="str">
        <x:v>Development Plane</x:v>
      </x:c>
      <x:c r="E45" s="13" t="str">
        <x:v>Data Science Exploration</x:v>
      </x:c>
      <x:c r="F45" s="13" t="str">
        <x:v>Spike: semantic RAG context injection pattern</x:v>
      </x:c>
      <x:c r="G45" s="13" t="str">
        <x:v>As the DS exploration team, we want a RAG pattern so that agents can use external context without hardcoding prompts.</x:v>
      </x:c>
      <x:c r="H45" s="13" t="str">
        <x:v>Prototype retrieval configuration, chunking assumptions, top-k/rerank options, prompt injection pattern and evaluation approach.</x:v>
      </x:c>
      <x:c r="I45" s="13" t="str">
        <x:v>- Prototype demonstrates retrieval-to-prompt path
- Risks for stale context and hallucination are documented
- Recommended template inputs/outputs are defined</x:v>
      </x:c>
      <x:c r="J45" s="13" t="str">
        <x:v>P1 - Should Have</x:v>
      </x:c>
      <x:c r="K45" s="13" t="str">
        <x:v>Days 0-30 Foundations</x:v>
      </x:c>
      <x:c r="L45" s="13" t="n">
        <x:v>8</x:v>
      </x:c>
      <x:c r="M45" s="13" t="str">
        <x:v>Data Scientist</x:v>
      </x:c>
      <x:c r="N45" s="13" t="str">
        <x:v>AGOPS-E15</x:v>
      </x:c>
      <x:c r="O45" s="13" t="str">
        <x:v>Spike, RAG</x:v>
      </x:c>
      <x:c r="P45" s="13" t="str">
        <x:v>Proposed</x:v>
      </x:c>
      <x:c r="Q45" s="13" t="str"/>
    </x:row>
    <x:row r="46" ht="68" customHeight="1">
      <x:c r="A46" s="13" t="str">
        <x:v>AGOPS-045</x:v>
      </x:c>
      <x:c r="B46" s="13" t="str">
        <x:v>Spike</x:v>
      </x:c>
      <x:c r="C46" s="13" t="str">
        <x:v>AGOPS-E16</x:v>
      </x:c>
      <x:c r="D46" s="13" t="str">
        <x:v>Development Plane</x:v>
      </x:c>
      <x:c r="E46" s="13" t="str">
        <x:v>Data Science Exploration</x:v>
      </x:c>
      <x:c r="F46" s="13" t="str">
        <x:v>Spike: typed tool selection with MCP descriptions</x:v>
      </x:c>
      <x:c r="G46" s="13" t="str">
        <x:v>As the DS team, I want to test whether tool descriptions drive correct tool selection so that MCP metadata standards are fit-for-purpose.</x:v>
      </x:c>
      <x:c r="H46" s="13" t="str">
        <x:v>Evaluate tool description quality, examples, signatures and conflict cases using golden tasks.</x:v>
      </x:c>
      <x:c r="I46" s="13" t="str">
        <x:v>- Tool selection accuracy baseline is measured
- Required metadata fields are recommended
- Bad-description anti-patterns are documented</x:v>
      </x:c>
      <x:c r="J46" s="13" t="str">
        <x:v>P1 - Should Have</x:v>
      </x:c>
      <x:c r="K46" s="13" t="str">
        <x:v>Days 30-60 Onboard &amp; Build</x:v>
      </x:c>
      <x:c r="L46" s="13" t="n">
        <x:v>5</x:v>
      </x:c>
      <x:c r="M46" s="13" t="str">
        <x:v>Data Scientist</x:v>
      </x:c>
      <x:c r="N46" s="13" t="str">
        <x:v>AGOPS-E10</x:v>
      </x:c>
      <x:c r="O46" s="13" t="str">
        <x:v>Spike, MCP, ToolSelection</x:v>
      </x:c>
      <x:c r="P46" s="13" t="str">
        <x:v>Proposed</x:v>
      </x:c>
      <x:c r="Q46" s="13" t="str"/>
    </x:row>
    <x:row r="47" ht="68" customHeight="1">
      <x:c r="A47" s="13" t="str">
        <x:v>AGOPS-046</x:v>
      </x:c>
      <x:c r="B47" s="13" t="str">
        <x:v>Spike</x:v>
      </x:c>
      <x:c r="C47" s="13" t="str">
        <x:v>AGOPS-E17</x:v>
      </x:c>
      <x:c r="D47" s="13" t="str">
        <x:v>Agent Runtime</x:v>
      </x:c>
      <x:c r="E47" s="13" t="str">
        <x:v>Data Science Exploration</x:v>
      </x:c>
      <x:c r="F47" s="13" t="str">
        <x:v>Spike: measure COINS/R2D2 gateway latency, throughput and auth constraints</x:v>
      </x:c>
      <x:c r="G47" s="13" t="str">
        <x:v>As the runtime team, we need latency and auth evidence before committing production SLAs.</x:v>
      </x:c>
      <x:c r="H47" s="13" t="str">
        <x:v>Run synthetic calls through approved gateways for target models; measure P50/P95, timeout rate, token throughput, auth scopes and error modes.</x:v>
      </x:c>
      <x:c r="I47" s="13" t="str">
        <x:v>- Latency and error summary is captured
- SLA risks and mitigation options are documented
- Backend adapter requirements are finalized</x:v>
      </x:c>
      <x:c r="J47" s="13" t="str">
        <x:v>P0 - Must Have</x:v>
      </x:c>
      <x:c r="K47" s="13" t="str">
        <x:v>Days 30-60 Onboard &amp; Build</x:v>
      </x:c>
      <x:c r="L47" s="13" t="n">
        <x:v>8</x:v>
      </x:c>
      <x:c r="M47" s="13" t="str">
        <x:v>DS Exploration Lead</x:v>
      </x:c>
      <x:c r="N47" s="13" t="str">
        <x:v>Enterprise Platform Partner</x:v>
      </x:c>
      <x:c r="O47" s="13" t="str">
        <x:v>Spike, Gateway, MVP</x:v>
      </x:c>
      <x:c r="P47" s="13" t="str">
        <x:v>Proposed</x:v>
      </x:c>
      <x:c r="Q47" s="13" t="str"/>
    </x:row>
    <x:row r="48" ht="68" customHeight="1">
      <x:c r="A48" s="13" t="str">
        <x:v>AGOPS-047</x:v>
      </x:c>
      <x:c r="B48" s="13" t="str">
        <x:v>Spike</x:v>
      </x:c>
      <x:c r="C48" s="13" t="str">
        <x:v>AGOPS-E17</x:v>
      </x:c>
      <x:c r="D48" s="13" t="str">
        <x:v>Agent Runtime</x:v>
      </x:c>
      <x:c r="E48" s="13" t="str">
        <x:v>Data Science Exploration</x:v>
      </x:c>
      <x:c r="F48" s="13" t="str">
        <x:v>Spike: ADK pod runtime recovery and state handling</x:v>
      </x:c>
      <x:c r="G48" s="13" t="str">
        <x:v>As a platform team, we want to understand pod failure behavior so that the runtime can resume or safely fail agent runs.</x:v>
      </x:c>
      <x:c r="H48" s="13" t="str">
        <x:v>Prototype restart, retry, waiting-review state, idempotency, timeout and tool-call replay behavior.</x:v>
      </x:c>
      <x:c r="I48" s="13" t="str">
        <x:v>- Failure modes are documented
- Recommended run-state design is validated
- Runtime backlog is updated with recovery requirements</x:v>
      </x:c>
      <x:c r="J48" s="13" t="str">
        <x:v>P0 - Must Have</x:v>
      </x:c>
      <x:c r="K48" s="13" t="str">
        <x:v>Days 30-60 Onboard &amp; Build</x:v>
      </x:c>
      <x:c r="L48" s="13" t="n">
        <x:v>8</x:v>
      </x:c>
      <x:c r="M48" s="13" t="str">
        <x:v>Platform Engineer</x:v>
      </x:c>
      <x:c r="N48" s="13" t="str">
        <x:v>AGOPS-E07</x:v>
      </x:c>
      <x:c r="O48" s="13" t="str">
        <x:v>Spike, Runtime, MVP</x:v>
      </x:c>
      <x:c r="P48" s="13" t="str">
        <x:v>Proposed</x:v>
      </x:c>
      <x:c r="Q48" s="13" t="str"/>
    </x:row>
    <x:row r="49" ht="68" customHeight="1">
      <x:c r="A49" s="13" t="str">
        <x:v>AGOPS-048</x:v>
      </x:c>
      <x:c r="B49" s="13" t="str">
        <x:v>Spike</x:v>
      </x:c>
      <x:c r="C49" s="13" t="str">
        <x:v>AGOPS-E16</x:v>
      </x:c>
      <x:c r="D49" s="13" t="str">
        <x:v>Development Plane</x:v>
      </x:c>
      <x:c r="E49" s="13" t="str">
        <x:v>Data Science Exploration</x:v>
      </x:c>
      <x:c r="F49" s="13" t="str">
        <x:v>Spike: stateful multi-agent handoff design</x:v>
      </x:c>
      <x:c r="G49" s="13" t="str">
        <x:v>As the DS exploration team, I want to test handoff patterns so that multi-agent flows remain auditable.</x:v>
      </x:c>
      <x:c r="H49" s="13" t="str">
        <x:v>Evaluate state representation, handoff criteria, traceability, shared memory constraints and evaluation strategy.</x:v>
      </x:c>
      <x:c r="I49" s="13" t="str">
        <x:v>- Handoff pattern is documented with tradeoffs
- State schema implications are captured
- Recommendation for MVP/non-MVP scope is made</x:v>
      </x:c>
      <x:c r="J49" s="13" t="str">
        <x:v>P2 - Could Have</x:v>
      </x:c>
      <x:c r="K49" s="13" t="str">
        <x:v>Post-MVP</x:v>
      </x:c>
      <x:c r="L49" s="13" t="n">
        <x:v>5</x:v>
      </x:c>
      <x:c r="M49" s="13" t="str">
        <x:v>Data Scientist</x:v>
      </x:c>
      <x:c r="N49" s="13" t="str">
        <x:v>AGOPS-E07</x:v>
      </x:c>
      <x:c r="O49" s="13" t="str">
        <x:v>Spike, MultiAgent</x:v>
      </x:c>
      <x:c r="P49" s="13" t="str">
        <x:v>Proposed</x:v>
      </x:c>
      <x:c r="Q49" s="13" t="str"/>
    </x:row>
    <x:row r="50" ht="68" customHeight="1">
      <x:c r="A50" s="13" t="str">
        <x:v>AGOPS-049</x:v>
      </x:c>
      <x:c r="B50" s="13" t="str">
        <x:v>Spike</x:v>
      </x:c>
      <x:c r="C50" s="13" t="str">
        <x:v>AGOPS-E17</x:v>
      </x:c>
      <x:c r="D50" s="13" t="str">
        <x:v>Agent Runtime</x:v>
      </x:c>
      <x:c r="E50" s="13" t="str">
        <x:v>Data Science Exploration</x:v>
      </x:c>
      <x:c r="F50" s="13" t="str">
        <x:v>Spike: runtime throughput and pod sizing for flagship agent</x:v>
      </x:c>
      <x:c r="G50" s="13" t="str">
        <x:v>As an operator, I want a first sizing model so that the 90-day agent can be promoted with credible runtime expectations.</x:v>
      </x:c>
      <x:c r="H50" s="13" t="str">
        <x:v>Run synthetic load with representative prompts/tool calls; estimate pod CPU/memory, concurrency, timeouts and queueing needs.</x:v>
      </x:c>
      <x:c r="I50" s="13" t="str">
        <x:v>- Sizing assumptions are documented
- Throughput and p95 latency are measured for MVP flow
- Risks and scale-up plan are added to roadmap</x:v>
      </x:c>
      <x:c r="J50" s="13" t="str">
        <x:v>P1 - Should Have</x:v>
      </x:c>
      <x:c r="K50" s="13" t="str">
        <x:v>Days 60-90 First Promotion</x:v>
      </x:c>
      <x:c r="L50" s="13" t="n">
        <x:v>8</x:v>
      </x:c>
      <x:c r="M50" s="13" t="str">
        <x:v>Platform Engineer</x:v>
      </x:c>
      <x:c r="N50" s="13" t="str">
        <x:v>AGOPS-E07; AGOPS-E09</x:v>
      </x:c>
      <x:c r="O50" s="13" t="str">
        <x:v>Spike, NFR</x:v>
      </x:c>
      <x:c r="P50" s="13" t="str">
        <x:v>Proposed</x:v>
      </x:c>
      <x:c r="Q50" s="13" t="str"/>
    </x:row>
    <x:row r="51" ht="68" customHeight="1">
      <x:c r="A51" s="13" t="str">
        <x:v>AGOPS-050</x:v>
      </x:c>
      <x:c r="B51" s="13" t="str">
        <x:v>Story</x:v>
      </x:c>
      <x:c r="C51" s="13" t="str">
        <x:v>AGOPS-E11</x:v>
      </x:c>
      <x:c r="D51" s="13" t="str">
        <x:v>Development Plane</x:v>
      </x:c>
      <x:c r="E51" s="13" t="str">
        <x:v>Collator</x:v>
      </x:c>
      <x:c r="F51" s="13" t="str">
        <x:v>Define DS artifact manifest contract</x:v>
      </x:c>
      <x:c r="G51" s="13" t="str">
        <x:v>As a collator lead, I want one manifest contract so that DS outputs can be consumed by backend compiler/runtime.</x:v>
      </x:c>
      <x:c r="H51" s="13" t="str">
        <x:v>Define manifest fields for prompts, personas, policies, evals, golden sets, guardrail packs, model config, tool refs and version hashes.</x:v>
      </x:c>
      <x:c r="I51" s="13" t="str">
        <x:v>- Manifest schema is approved by DS and Backend
- Manifest references immutable artifact versions
- Compiler can validate manifest structure</x:v>
      </x:c>
      <x:c r="J51" s="13" t="str">
        <x:v>P0 - Must Have</x:v>
      </x:c>
      <x:c r="K51" s="13" t="str">
        <x:v>Days 30-60 Onboard &amp; Build</x:v>
      </x:c>
      <x:c r="L51" s="13" t="n">
        <x:v>8</x:v>
      </x:c>
      <x:c r="M51" s="13" t="str">
        <x:v>Collator Lead</x:v>
      </x:c>
      <x:c r="N51" s="13" t="str">
        <x:v>AGOPS-E14; AGOPS-E15; AGOPS-E06</x:v>
      </x:c>
      <x:c r="O51" s="13" t="str">
        <x:v>Collator, Contracts, MVP</x:v>
      </x:c>
      <x:c r="P51" s="13" t="str">
        <x:v>Proposed</x:v>
      </x:c>
      <x:c r="Q51" s="13" t="str"/>
    </x:row>
    <x:row r="52" ht="68" customHeight="1">
      <x:c r="A52" s="13" t="str">
        <x:v>AGOPS-051</x:v>
      </x:c>
      <x:c r="B52" s="13" t="str">
        <x:v>Story</x:v>
      </x:c>
      <x:c r="C52" s="13" t="str">
        <x:v>AGOPS-E11</x:v>
      </x:c>
      <x:c r="D52" s="13" t="str">
        <x:v>Development Plane</x:v>
      </x:c>
      <x:c r="E52" s="13" t="str">
        <x:v>Collator</x:v>
      </x:c>
      <x:c r="F52" s="13" t="str">
        <x:v>Build artifact packaging service</x:v>
      </x:c>
      <x:c r="G52" s="13" t="str">
        <x:v>As backend engineering, I need DS artifacts packaged into release bundles so that runtime deployment is reproducible.</x:v>
      </x:c>
      <x:c r="H52" s="13" t="str">
        <x:v>Service assembles workflow manifest, prompts, persona, eval results, guardrail policies, tools and environment config into release package.</x:v>
      </x:c>
      <x:c r="I52" s="13" t="str">
        <x:v>- Package includes content hashes
- Package generation fails if required artifacts are missing
- Package can be attached to promotion request</x:v>
      </x:c>
      <x:c r="J52" s="13" t="str">
        <x:v>P0 - Must Have</x:v>
      </x:c>
      <x:c r="K52" s="13" t="str">
        <x:v>Days 30-60 Onboard &amp; Build</x:v>
      </x:c>
      <x:c r="L52" s="13" t="n">
        <x:v>13</x:v>
      </x:c>
      <x:c r="M52" s="13" t="str">
        <x:v>Collator Lead</x:v>
      </x:c>
      <x:c r="N52" s="13" t="str">
        <x:v>AGOPS-E05; AGOPS-E08</x:v>
      </x:c>
      <x:c r="O52" s="13" t="str">
        <x:v>Packaging, MVP</x:v>
      </x:c>
      <x:c r="P52" s="13" t="str">
        <x:v>Proposed</x:v>
      </x:c>
      <x:c r="Q52" s="13" t="str"/>
    </x:row>
    <x:row r="53" ht="68" customHeight="1">
      <x:c r="A53" s="13" t="str">
        <x:v>AGOPS-052</x:v>
      </x:c>
      <x:c r="B53" s="13" t="str">
        <x:v>Story</x:v>
      </x:c>
      <x:c r="C53" s="13" t="str">
        <x:v>AGOPS-E11</x:v>
      </x:c>
      <x:c r="D53" s="13" t="str">
        <x:v>Development Plane</x:v>
      </x:c>
      <x:c r="E53" s="13" t="str">
        <x:v>Collator</x:v>
      </x:c>
      <x:c r="F53" s="13" t="str">
        <x:v>Create contract validation between DS assets and backend schema</x:v>
      </x:c>
      <x:c r="G53" s="13" t="str">
        <x:v>As the platform team, I want automated contract validation so that DS artifacts do not break runtime execution.</x:v>
      </x:c>
      <x:c r="H53" s="13" t="str">
        <x:v>Validate prompt variables, persona IDs, eval refs, policy IDs, tool refs and model config against canonical backend schemas.</x:v>
      </x:c>
      <x:c r="I53" s="13" t="str">
        <x:v>- Validation runs before compile
- Errors point to owning artifact and field
- Contract validation result is stored in audit evidence</x:v>
      </x:c>
      <x:c r="J53" s="13" t="str">
        <x:v>P0 - Must Have</x:v>
      </x:c>
      <x:c r="K53" s="13" t="str">
        <x:v>Days 30-60 Onboard &amp; Build</x:v>
      </x:c>
      <x:c r="L53" s="13" t="n">
        <x:v>8</x:v>
      </x:c>
      <x:c r="M53" s="13" t="str">
        <x:v>Collator Lead</x:v>
      </x:c>
      <x:c r="N53" s="13" t="str">
        <x:v>AGOPS-E06; AGOPS-E14</x:v>
      </x:c>
      <x:c r="O53" s="13" t="str">
        <x:v>Contracts, Validation, MVP</x:v>
      </x:c>
      <x:c r="P53" s="13" t="str">
        <x:v>Proposed</x:v>
      </x:c>
      <x:c r="Q53" s="13" t="str"/>
    </x:row>
    <x:row r="54" ht="68" customHeight="1">
      <x:c r="A54" s="13" t="str">
        <x:v>AGOPS-053</x:v>
      </x:c>
      <x:c r="B54" s="13" t="str">
        <x:v>Story</x:v>
      </x:c>
      <x:c r="C54" s="13" t="str">
        <x:v>AGOPS-E12</x:v>
      </x:c>
      <x:c r="D54" s="13" t="str">
        <x:v>Agent Runtime</x:v>
      </x:c>
      <x:c r="E54" s="13" t="str">
        <x:v>Collator</x:v>
      </x:c>
      <x:c r="F54" s="13" t="str">
        <x:v>Build end-to-end compile-to-run smoke harness</x:v>
      </x:c>
      <x:c r="G54" s="13" t="str">
        <x:v>As a release owner, I want a repeatable harness proving a workflow can move from definition to runtime.</x:v>
      </x:c>
      <x:c r="H54" s="13" t="str">
        <x:v>Automate create/import YAML, validate, compile, package, deploy to staging runtime, run sample test and capture trace/evidence.</x:v>
      </x:c>
      <x:c r="I54" s="13" t="str">
        <x:v>- Harness runs for at least one flagship agent
- Output includes pass/fail, trace ID and promotion evidence
- Failure stops before production promotion</x:v>
      </x:c>
      <x:c r="J54" s="13" t="str">
        <x:v>P0 - Must Have</x:v>
      </x:c>
      <x:c r="K54" s="13" t="str">
        <x:v>Days 60-90 First Promotion</x:v>
      </x:c>
      <x:c r="L54" s="13" t="n">
        <x:v>13</x:v>
      </x:c>
      <x:c r="M54" s="13" t="str">
        <x:v>Collator Lead</x:v>
      </x:c>
      <x:c r="N54" s="13" t="str">
        <x:v>AGOPS-E07; AGOPS-E08; AGOPS-E15</x:v>
      </x:c>
      <x:c r="O54" s="13" t="str">
        <x:v>E2E, MVP</x:v>
      </x:c>
      <x:c r="P54" s="13" t="str">
        <x:v>Proposed</x:v>
      </x:c>
      <x:c r="Q54" s="13" t="str"/>
    </x:row>
    <x:row r="55" ht="68" customHeight="1">
      <x:c r="A55" s="13" t="str">
        <x:v>AGOPS-054</x:v>
      </x:c>
      <x:c r="B55" s="13" t="str">
        <x:v>Story</x:v>
      </x:c>
      <x:c r="C55" s="13" t="str">
        <x:v>AGOPS-E12</x:v>
      </x:c>
      <x:c r="D55" s="13" t="str">
        <x:v>Agent Runtime</x:v>
      </x:c>
      <x:c r="E55" s="13" t="str">
        <x:v>Collator</x:v>
      </x:c>
      <x:c r="F55" s="13" t="str">
        <x:v>Generate release evidence bundle for promotion gate</x:v>
      </x:c>
      <x:c r="G55" s="13" t="str">
        <x:v>As Risk and release approvers, I want a release evidence bundle so that prod approval is based on traceable facts.</x:v>
      </x:c>
      <x:c r="H55" s="13" t="str">
        <x:v>Bundle includes agent version, owner, workflow, tool list, prompts, policies, eval results, red-team result, model registry approval and audit route.</x:v>
      </x:c>
      <x:c r="I55" s="13" t="str">
        <x:v>- Evidence bundle is generated automatically
- Promotion workflow links to bundle
- Bundle is immutable after approval</x:v>
      </x:c>
      <x:c r="J55" s="13" t="str">
        <x:v>P0 - Must Have</x:v>
      </x:c>
      <x:c r="K55" s="13" t="str">
        <x:v>Days 60-90 First Promotion</x:v>
      </x:c>
      <x:c r="L55" s="13" t="n">
        <x:v>8</x:v>
      </x:c>
      <x:c r="M55" s="13" t="str">
        <x:v>Collator Lead</x:v>
      </x:c>
      <x:c r="N55" s="13" t="str">
        <x:v>AGOPS-E08</x:v>
      </x:c>
      <x:c r="O55" s="13" t="str">
        <x:v>Release, Evidence, MVP</x:v>
      </x:c>
      <x:c r="P55" s="13" t="str">
        <x:v>Proposed</x:v>
      </x:c>
      <x:c r="Q55" s="13" t="str"/>
    </x:row>
    <x:row r="56" ht="68" customHeight="1">
      <x:c r="A56" s="13" t="str">
        <x:v>AGOPS-055</x:v>
      </x:c>
      <x:c r="B56" s="13" t="str">
        <x:v>Story</x:v>
      </x:c>
      <x:c r="C56" s="13" t="str">
        <x:v>AGOPS-E12</x:v>
      </x:c>
      <x:c r="D56" s="13" t="str">
        <x:v>Development Plane</x:v>
      </x:c>
      <x:c r="E56" s="13" t="str">
        <x:v>Collator</x:v>
      </x:c>
      <x:c r="F56" s="13" t="str">
        <x:v>Create dependency validation report</x:v>
      </x:c>
      <x:c r="G56" s="13" t="str">
        <x:v>As the Hub, I want a pre-promotion dependency report so that missing tool/model/reviewer dependencies are visible early.</x:v>
      </x:c>
      <x:c r="H56" s="13" t="str">
        <x:v>Report unresolved tool refs, missing reviewers, persona/prompt version mismatches, eval gaps, model approval gaps and environment config gaps.</x:v>
      </x:c>
      <x:c r="I56" s="13" t="str">
        <x:v>- Report runs on draft and promotion request
- High severity gaps block promotion
- Report is viewable from UI and downloadable</x:v>
      </x:c>
      <x:c r="J56" s="13" t="str">
        <x:v>P1 - Should Have</x:v>
      </x:c>
      <x:c r="K56" s="13" t="str">
        <x:v>Days 60-90 First Promotion</x:v>
      </x:c>
      <x:c r="L56" s="13" t="n">
        <x:v>8</x:v>
      </x:c>
      <x:c r="M56" s="13" t="str">
        <x:v>Collator Lead</x:v>
      </x:c>
      <x:c r="N56" s="13" t="str">
        <x:v>AGOPS-E06; AGOPS-E08</x:v>
      </x:c>
      <x:c r="O56" s="13" t="str">
        <x:v>Dependency, Governance</x:v>
      </x:c>
      <x:c r="P56" s="13" t="str">
        <x:v>Proposed</x:v>
      </x:c>
      <x:c r="Q56" s="13" t="str"/>
    </x:row>
    <x:row r="57" ht="68" customHeight="1">
      <x:c r="A57" s="13" t="str">
        <x:v>AGOPS-056</x:v>
      </x:c>
      <x:c r="B57" s="13" t="str">
        <x:v>Story</x:v>
      </x:c>
      <x:c r="C57" s="13" t="str">
        <x:v>AGOPS-E12</x:v>
      </x:c>
      <x:c r="D57" s="13" t="str">
        <x:v>Control Plane</x:v>
      </x:c>
      <x:c r="E57" s="13" t="str">
        <x:v>Collator</x:v>
      </x:c>
      <x:c r="F57" s="13" t="str">
        <x:v>Automate governance readiness checklist</x:v>
      </x:c>
      <x:c r="G57" s="13" t="str">
        <x:v>As a release manager, I want an automated checklist so that the first promotion is consistent and repeatable.</x:v>
      </x:c>
      <x:c r="H57" s="13" t="str">
        <x:v>Checklist covers owner, risk tier, reviewers, eval green, guardrails, model/tool approval, audit route, rollback plan and support roster.</x:v>
      </x:c>
      <x:c r="I57" s="13" t="str">
        <x:v>- Checklist is generated per promotion
- Mandatory items block promotion
- Checklist maps to RACI and governance ceremonies</x:v>
      </x:c>
      <x:c r="J57" s="13" t="str">
        <x:v>P0 - Must Have</x:v>
      </x:c>
      <x:c r="K57" s="13" t="str">
        <x:v>Days 60-90 First Promotion</x:v>
      </x:c>
      <x:c r="L57" s="13" t="n">
        <x:v>8</x:v>
      </x:c>
      <x:c r="M57" s="13" t="str">
        <x:v>Collator Lead</x:v>
      </x:c>
      <x:c r="N57" s="13" t="str">
        <x:v>AGOPS-E08; AGOPS-E09</x:v>
      </x:c>
      <x:c r="O57" s="13" t="str">
        <x:v>Governance, MVP</x:v>
      </x:c>
      <x:c r="P57" s="13" t="str">
        <x:v>Proposed</x:v>
      </x:c>
      <x:c r="Q57" s="13" t="str"/>
    </x:row>
    <x:row r="58" ht="68" customHeight="1">
      <x:c r="A58" s="13" t="str">
        <x:v>AGOPS-057</x:v>
      </x:c>
      <x:c r="B58" s="13" t="str">
        <x:v>Story</x:v>
      </x:c>
      <x:c r="C58" s="13" t="str">
        <x:v>AGOPS-E05</x:v>
      </x:c>
      <x:c r="D58" s="13" t="str">
        <x:v>Development Plane</x:v>
      </x:c>
      <x:c r="E58" s="13" t="str">
        <x:v>Backend</x:v>
      </x:c>
      <x:c r="F58" s="13" t="str">
        <x:v>Expose agent version comparison API</x:v>
      </x:c>
      <x:c r="G58" s="13" t="str">
        <x:v>As a PM or reviewer, I want to compare versions so that changes in workflow, prompts, tools and policies are clear.</x:v>
      </x:c>
      <x:c r="H58" s="13" t="str">
        <x:v>Backend returns structured diffs between draft, previous version and promoted version.</x:v>
      </x:c>
      <x:c r="I58" s="13" t="str">
        <x:v>- Diff includes workflow graph, prompt, tool, policy and reviewer changes
- Sensitive fields are redacted
- UI can render diff summary</x:v>
      </x:c>
      <x:c r="J58" s="13" t="str">
        <x:v>P1 - Should Have</x:v>
      </x:c>
      <x:c r="K58" s="13" t="str">
        <x:v>Days 60-90 First Promotion</x:v>
      </x:c>
      <x:c r="L58" s="13" t="n">
        <x:v>5</x:v>
      </x:c>
      <x:c r="M58" s="13" t="str">
        <x:v>Backend Engineer</x:v>
      </x:c>
      <x:c r="N58" s="13" t="str">
        <x:v>AGOPS-E05</x:v>
      </x:c>
      <x:c r="O58" s="13" t="str">
        <x:v>Versioning</x:v>
      </x:c>
      <x:c r="P58" s="13" t="str">
        <x:v>Proposed</x:v>
      </x:c>
      <x:c r="Q58" s="13" t="str"/>
    </x:row>
    <x:row r="59" ht="68" customHeight="1">
      <x:c r="A59" s="13" t="str">
        <x:v>AGOPS-058</x:v>
      </x:c>
      <x:c r="B59" s="13" t="str">
        <x:v>Story</x:v>
      </x:c>
      <x:c r="C59" s="13" t="str">
        <x:v>AGOPS-E09</x:v>
      </x:c>
      <x:c r="D59" s="13" t="str">
        <x:v>Control Plane</x:v>
      </x:c>
      <x:c r="E59" s="13" t="str">
        <x:v>Backend</x:v>
      </x:c>
      <x:c r="F59" s="13" t="str">
        <x:v>Implement incident triage workflow hooks</x:v>
      </x:c>
      <x:c r="G59" s="13" t="str">
        <x:v>As an operator, I want incident hooks so that guardrail spikes or runtime failures route to the right owners.</x:v>
      </x:c>
      <x:c r="H59" s="13" t="str">
        <x:v>Route alerts to Hub triage, domain owner, risk partner and platform engineer based on failure type.</x:v>
      </x:c>
      <x:c r="I59" s="13" t="str">
        <x:v>- Incident payload includes agent, version, trace IDs and failure type
- Escalation target is derived from owner/reviewer roster
- Manual incident records link to audit trail</x:v>
      </x:c>
      <x:c r="J59" s="13" t="str">
        <x:v>P1 - Should Have</x:v>
      </x:c>
      <x:c r="K59" s="13" t="str">
        <x:v>Days 60-90 First Promotion</x:v>
      </x:c>
      <x:c r="L59" s="13" t="n">
        <x:v>8</x:v>
      </x:c>
      <x:c r="M59" s="13" t="str">
        <x:v>Backend Engineer</x:v>
      </x:c>
      <x:c r="N59" s="13" t="str">
        <x:v>AGOPS-E09</x:v>
      </x:c>
      <x:c r="O59" s="13" t="str">
        <x:v>Incident, Ops</x:v>
      </x:c>
      <x:c r="P59" s="13" t="str">
        <x:v>Proposed</x:v>
      </x:c>
      <x:c r="Q59" s="13" t="str"/>
    </x:row>
    <x:row r="60" ht="68" customHeight="1">
      <x:c r="A60" s="13" t="str">
        <x:v>AGOPS-059</x:v>
      </x:c>
      <x:c r="B60" s="13" t="str">
        <x:v>Task</x:v>
      </x:c>
      <x:c r="C60" s="13" t="str">
        <x:v>AGOPS-E08</x:v>
      </x:c>
      <x:c r="D60" s="13" t="str">
        <x:v>Control Plane</x:v>
      </x:c>
      <x:c r="E60" s="13" t="str">
        <x:v>Backend</x:v>
      </x:c>
      <x:c r="F60" s="13" t="str">
        <x:v>Define approved model registry integration contract</x:v>
      </x:c>
      <x:c r="G60" s="13" t="str">
        <x:v>As an enterprise platform partner, I want the integration contract documented so agents only use approved models.</x:v>
      </x:c>
      <x:c r="H60" s="13" t="str">
        <x:v>Define lookup, cache, approval status, fallback behavior and SLA for approved-models registry.</x:v>
      </x:c>
      <x:c r="I60" s="13" t="str">
        <x:v>- Runtime cannot use unapproved model IDs
- Promotion gate checks model approval
- SLA risks are documented and negotiated</x:v>
      </x:c>
      <x:c r="J60" s="13" t="str">
        <x:v>P0 - Must Have</x:v>
      </x:c>
      <x:c r="K60" s="13" t="str">
        <x:v>Days 0-30 Foundations</x:v>
      </x:c>
      <x:c r="L60" s="13" t="n">
        <x:v>5</x:v>
      </x:c>
      <x:c r="M60" s="13" t="str">
        <x:v>Enterprise Platform Partner</x:v>
      </x:c>
      <x:c r="N60" s="13" t="str">
        <x:v>Enterprise Platform Team</x:v>
      </x:c>
      <x:c r="O60" s="13" t="str">
        <x:v>ModelRegistry, Governance, MVP</x:v>
      </x:c>
      <x:c r="P60" s="13" t="str">
        <x:v>Proposed</x:v>
      </x:c>
      <x:c r="Q60" s="13" t="str"/>
    </x:row>
  </x:sheetData>
  <x:conditionalFormatting sqref="J2:J60">
    <x:cfRule type="expression" dxfId="0" priority="1">
      <x:formula>$J2="P0 - Must Have"</x:formula>
    </x:cfRule>
    <x:cfRule type="expression" dxfId="1" priority="2">
      <x:formula>$J2="P1 - Should Have"</x:formula>
    </x:cfRule>
    <x:cfRule type="expression" dxfId="2" priority="3">
      <x:formula>$J2="P2 - Could Have"</x:formula>
    </x:cfRule>
  </x:conditionalFormatting>
  <x:conditionalFormatting sqref="L2:L60">
    <x:cfRule type="dataBar" priority="4">
      <x:dataBar>
        <x:cfvo type="min"/>
        <x:cfvo type="max"/>
        <x:color rgb="007C89"/>
      </x:dataBar>
      <x:extLst>
        <x:ext xmlns:x14="http://schemas.microsoft.com/office/spreadsheetml/2009/9/main" uri="{B025F937-C7B1-47D3-B67F-A62EFF666E3E}">
          <x14:id>{17DCE7BA-52F3-7AE4-7EC2-366AF3E2ECD6}</x14:id>
        </x:ext>
      </x:extLst>
    </x:cfRule>
  </x:conditionalFormatting>
  <x:dataValidations count="6">
    <x:dataValidation type="list" sqref="B2:B60">
      <x:formula1>"Epic,Story,Spike,Task"</x:formula1>
    </x:dataValidation>
    <x:dataValidation type="list" sqref="D2:D60">
      <x:formula1>"User Plane,Development Plane,Control Plane,MCP,Agent Runtime"</x:formula1>
    </x:dataValidation>
    <x:dataValidation type="list" sqref="E2:E60">
      <x:formula1>"UI,Backend,Data Science,Data Science Exploration,Collator"</x:formula1>
    </x:dataValidation>
    <x:dataValidation type="list" sqref="J2:J60">
      <x:formula1>"P0 - Must Have,P1 - Should Have,P2 - Could Have"</x:formula1>
    </x:dataValidation>
    <x:dataValidation type="list" sqref="K2:K60">
      <x:formula1>"Days 0-30 Foundations,Days 30-60 Onboard &amp; Build,Days 60-90 First Promotion,Post-MVP"</x:formula1>
    </x:dataValidation>
    <x:dataValidation type="list" sqref="P2:P60">
      <x:formula1>"Proposed,Ready,In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63b1cb1a784ab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7DCE7BA-52F3-7AE4-7EC2-366AF3E2ECD6}">
            <x14:dataBar gradient="1">
              <x14:cfvo type="min"/>
              <x14:cfvo type="max"/>
              <x14:fillColor rgb="007C89"/>
            </x14:dataBar>
          </x14:cfRule>
          <xm:sqref>L2:L60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2" hidden="0" customWidth="1"/>
    <x:col min="4" max="4" width="26" hidden="0" customWidth="1"/>
    <x:col min="5" max="5" width="26" hidden="0" customWidth="1"/>
    <x:col min="6" max="6" width="42" hidden="0" customWidth="1"/>
  </x:cols>
  <x:sheetData>
    <x:row r="1" ht="30" customHeight="1">
      <x:c r="A1" s="6" t="str">
        <x:v>Target Window</x:v>
      </x:c>
      <x:c r="B1" s="6" t="str">
        <x:v>Theme</x:v>
      </x:c>
      <x:c r="C1" s="6" t="str">
        <x:v>Representative Outcomes</x:v>
      </x:c>
      <x:c r="D1" s="6" t="str">
        <x:v>Key Stories / Epics</x:v>
      </x:c>
      <x:c r="E1" s="6" t="str">
        <x:v>Primary Planes</x:v>
      </x:c>
      <x:c r="F1" s="6" t="str">
        <x:v>Exit Criteria</x:v>
      </x:c>
    </x:row>
    <x:row r="2" ht="84" customHeight="1">
      <x:c r="A2" s="13" t="str">
        <x:v>Days 0-30 Foundations</x:v>
      </x:c>
      <x:c r="B2" s="13" t="str">
        <x:v>Establish standards, templates and core contracts</x:v>
      </x:c>
      <x:c r="C2" s="13" t="str">
        <x:v>Agent Studio shell; agent creation wizard; canonical data model; base templates/personas; prompt/policy standards; approved model contract.</x:v>
      </x:c>
      <x:c r="D2" s="13" t="str">
        <x:v>AGOPS-E01, E05, E13, E14, E17</x:v>
      </x:c>
      <x:c r="E2" s="13" t="str">
        <x:v>User Plane, Development Plane, Control Plane, Agent Runtime</x:v>
      </x:c>
      <x:c r="F2" s="13" t="str">
        <x:v>Two flagship templates selected; data model approved; base persona/prompt/policy standards published; registry SLA clarified.</x:v>
      </x:c>
    </x:row>
    <x:row r="3" ht="84" customHeight="1">
      <x:c r="A3" s="13" t="str">
        <x:v>Days 30-60 Onboard &amp; Build</x:v>
      </x:c>
      <x:c r="B3" s="13" t="str">
        <x:v>Build authoring, compiler, registry and governance gates</x:v>
      </x:c>
      <x:c r="C3" s="13" t="str">
        <x:v>Workflow canvas; YAML round-trip; tool/prompt/policy screens; compiler; MCP registry; promotion service; eval harness; collator package contract.</x:v>
      </x:c>
      <x:c r="D3" s="13" t="str">
        <x:v>AGOPS-E02, E03, E06, E08, E10, E11, E15</x:v>
      </x:c>
      <x:c r="E3" s="13" t="str">
        <x:v>User Plane, Development Plane, Control Plane, MCP</x:v>
      </x:c>
      <x:c r="F3" s="13" t="str">
        <x:v>One MVP backlog packaged; draft agent validates/compiles; eval thresholds defined; promotion gates operational in staging.</x:v>
      </x:c>
    </x:row>
    <x:row r="4" ht="84" customHeight="1">
      <x:c r="A4" s="13" t="str">
        <x:v>Days 60-90 First Promotion</x:v>
      </x:c>
      <x:c r="B4" s="13" t="str">
        <x:v>Promote the first agent to staging/prod behind full control plane</x:v>
      </x:c>
      <x:c r="C4" s="13" t="str">
        <x:v>ADK pod runner; run-state persistence; HITL dashboard; observability; guardrails; release evidence; rollback; first quarterly portfolio view.</x:v>
      </x:c>
      <x:c r="D4" s="13" t="str">
        <x:v>AGOPS-E04, E07, E09, E12</x:v>
      </x:c>
      <x:c r="E4" s="13" t="str">
        <x:v>User Plane, Control Plane, Agent Runtime</x:v>
      </x:c>
      <x:c r="F4" s="13" t="str">
        <x:v>First flagship agent promoted to staging; production promotion checklist green or documented exceptions; baseline drift/cost/SLA metrics captured.</x:v>
      </x:c>
    </x:row>
    <x:row r="5" ht="84" customHeight="1">
      <x:c r="A5" s="13" t="str">
        <x:v>Post-MVP</x:v>
      </x:c>
      <x:c r="B5" s="13" t="str">
        <x:v>Scale patterns and harden for enterprise rollout</x:v>
      </x:c>
      <x:c r="C5" s="13" t="str">
        <x:v>Multi-agent handoff; advanced duplicate detection; expanded MCP connector import; NFR scaling; broader domain onboarding.</x:v>
      </x:c>
      <x:c r="D5" s="13" t="str">
        <x:v>AGOPS-E16, E17 plus follow-on backlog</x:v>
      </x:c>
      <x:c r="E5" s="13" t="str">
        <x:v>All planes</x:v>
      </x:c>
      <x:c r="F5" s="13" t="str">
        <x:v>Repeatable onboarding model for additional domains with stable platform guardrails and reusable templates.</x:v>
      </x:c>
    </x:row>
  </x:sheetData>
  <x:pageMargins left="0.7" right="0.7" top="0.75" bottom="0.75" header="0.3" footer="0.3"/>
  <x:tableParts count="1">
    <x:tablePart xmlns:r="http://schemas.openxmlformats.org/officeDocument/2006/relationships" r:id="Rc131dc3f89c6415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2" hidden="0" customWidth="1"/>
    <x:col min="4" max="4" width="26" hidden="0" customWidth="1"/>
    <x:col min="5" max="5" width="26" hidden="0" customWidth="1"/>
    <x:col min="6" max="6" width="46" hidden="0" customWidth="1"/>
  </x:cols>
  <x:sheetData>
    <x:row r="1" ht="30" customHeight="1">
      <x:c r="A1" s="6" t="str">
        <x:v>Lifecycle Stage</x:v>
      </x:c>
      <x:c r="B1" s="6" t="str">
        <x:v>MOT AI/ML Hub</x:v>
      </x:c>
      <x:c r="C1" s="6" t="str">
        <x:v>Domain Teams / Spokes</x:v>
      </x:c>
      <x:c r="D1" s="6" t="str">
        <x:v>Enterprise Platform</x:v>
      </x:c>
      <x:c r="E1" s="6" t="str">
        <x:v>Risk / Compliance</x:v>
      </x:c>
      <x:c r="F1" s="6" t="str">
        <x:v>Notes</x:v>
      </x:c>
    </x:row>
    <x:row r="2" ht="42" customHeight="1">
      <x:c r="A2" s="13" t="str">
        <x:v>Intake / triage</x:v>
      </x:c>
      <x:c r="B2" s="13" t="str">
        <x:v>A/R</x:v>
      </x:c>
      <x:c r="C2" s="13" t="str">
        <x:v>C</x:v>
      </x:c>
      <x:c r="D2" s="13" t="str">
        <x:v>I</x:v>
      </x:c>
      <x:c r="E2" s="13" t="str">
        <x:v>C</x:v>
      </x:c>
      <x:c r="F2" s="13" t="str">
        <x:v>Hub triages new agent intake and duplication check.</x:v>
      </x:c>
    </x:row>
    <x:row r="3" ht="42" customHeight="1">
      <x:c r="A3" s="13" t="str">
        <x:v>Persona definition</x:v>
      </x:c>
      <x:c r="B3" s="13" t="str">
        <x:v>A/R</x:v>
      </x:c>
      <x:c r="C3" s="13" t="str">
        <x:v>C</x:v>
      </x:c>
      <x:c r="D3" s="13" t="str">
        <x:v>I</x:v>
      </x:c>
      <x:c r="E3" s="13" t="str">
        <x:v>C</x:v>
      </x:c>
      <x:c r="F3" s="13" t="str">
        <x:v>Base personas are global; new personas require approval.</x:v>
      </x:c>
    </x:row>
    <x:row r="4" ht="42" customHeight="1">
      <x:c r="A4" s="13" t="str">
        <x:v>Prompt &amp; tool description review</x:v>
      </x:c>
      <x:c r="B4" s="13" t="str">
        <x:v>A/R</x:v>
      </x:c>
      <x:c r="C4" s="13" t="str">
        <x:v>I</x:v>
      </x:c>
      <x:c r="D4" s="13" t="str">
        <x:v>I</x:v>
      </x:c>
      <x:c r="E4" s="13" t="str">
        <x:v>C</x:v>
      </x:c>
      <x:c r="F4" s="13" t="str">
        <x:v>Prompts are policy artifacts and reviewed like code.</x:v>
      </x:c>
    </x:row>
    <x:row r="5" ht="42" customHeight="1">
      <x:c r="A5" s="13" t="str">
        <x:v>Agent build</x:v>
      </x:c>
      <x:c r="B5" s="13" t="str">
        <x:v>R/A enabling</x:v>
      </x:c>
      <x:c r="C5" s="13" t="str">
        <x:v>R</x:v>
      </x:c>
      <x:c r="D5" s="13" t="str">
        <x:v>I</x:v>
      </x:c>
      <x:c r="E5" s="13" t="str">
        <x:v>I</x:v>
      </x:c>
      <x:c r="F5" s="13" t="str">
        <x:v>Domain co-builds with Hub enabling support.</x:v>
      </x:c>
    </x:row>
    <x:row r="6" ht="42" customHeight="1">
      <x:c r="A6" s="13" t="str">
        <x:v>Tool contribution</x:v>
      </x:c>
      <x:c r="B6" s="13" t="str">
        <x:v>C</x:v>
      </x:c>
      <x:c r="C6" s="13" t="str">
        <x:v>R</x:v>
      </x:c>
      <x:c r="D6" s="13" t="str">
        <x:v>I</x:v>
      </x:c>
      <x:c r="E6" s="13" t="str">
        <x:v>C</x:v>
      </x:c>
      <x:c r="F6" s="13" t="str">
        <x:v>Domain owns tool business logic; Hub/Platform enforces registry.</x:v>
      </x:c>
    </x:row>
    <x:row r="7" ht="42" customHeight="1">
      <x:c r="A7" s="13" t="str">
        <x:v>Eval authoring</x:v>
      </x:c>
      <x:c r="B7" s="13" t="str">
        <x:v>A/R</x:v>
      </x:c>
      <x:c r="C7" s="13" t="str">
        <x:v>R</x:v>
      </x:c>
      <x:c r="D7" s="13" t="str">
        <x:v>I</x:v>
      </x:c>
      <x:c r="E7" s="13" t="str">
        <x:v>C</x:v>
      </x:c>
      <x:c r="F7" s="13" t="str">
        <x:v>Domain golden sets, Hub quality gates.</x:v>
      </x:c>
    </x:row>
    <x:row r="8" ht="42" customHeight="1">
      <x:c r="A8" s="13" t="str">
        <x:v>Promotion gate</x:v>
      </x:c>
      <x:c r="B8" s="13" t="str">
        <x:v>A/R</x:v>
      </x:c>
      <x:c r="C8" s="13" t="str">
        <x:v>C</x:v>
      </x:c>
      <x:c r="D8" s="13" t="str">
        <x:v>A/R</x:v>
      </x:c>
      <x:c r="E8" s="13" t="str">
        <x:v>I</x:v>
      </x:c>
      <x:c r="F8" s="13" t="str">
        <x:v>Platform owns approved runtime/model registry; Hub gates Market OPS agents.</x:v>
      </x:c>
    </x:row>
    <x:row r="9" ht="42" customHeight="1">
      <x:c r="A9" s="13" t="str">
        <x:v>Runtime ops</x:v>
      </x:c>
      <x:c r="B9" s="13" t="str">
        <x:v>C</x:v>
      </x:c>
      <x:c r="C9" s="13" t="str">
        <x:v>I</x:v>
      </x:c>
      <x:c r="D9" s="13" t="str">
        <x:v>A/R</x:v>
      </x:c>
      <x:c r="E9" s="13" t="str">
        <x:v>C</x:v>
      </x:c>
      <x:c r="F9" s="13" t="str">
        <x:v>Runtime, gateway, IAM, secrets, monitoring foundation.</x:v>
      </x:c>
    </x:row>
    <x:row r="10" ht="42" customHeight="1">
      <x:c r="A10" s="13" t="str">
        <x:v>HITL platform &amp; review</x:v>
      </x:c>
      <x:c r="B10" s="13" t="str">
        <x:v>A/R platform</x:v>
      </x:c>
      <x:c r="C10" s="13" t="str">
        <x:v>R judgment</x:v>
      </x:c>
      <x:c r="D10" s="13" t="str">
        <x:v>R foundation</x:v>
      </x:c>
      <x:c r="E10" s="13" t="str">
        <x:v>C</x:v>
      </x:c>
      <x:c r="F10" s="13" t="str">
        <x:v>Hub owns system; Spokes perform SME review.</x:v>
      </x:c>
    </x:row>
    <x:row r="11" ht="42" customHeight="1">
      <x:c r="A11" s="13" t="str">
        <x:v>Incident response</x:v>
      </x:c>
      <x:c r="B11" s="13" t="str">
        <x:v>A/R</x:v>
      </x:c>
      <x:c r="C11" s="13" t="str">
        <x:v>C</x:v>
      </x:c>
      <x:c r="D11" s="13" t="str">
        <x:v>I</x:v>
      </x:c>
      <x:c r="E11" s="13" t="str">
        <x:v>I</x:v>
      </x:c>
      <x:c r="F11" s="13" t="str">
        <x:v>Hub triage with escalation to platform/risk/domain.</x:v>
      </x:c>
    </x:row>
    <x:row r="12" ht="42" customHeight="1">
      <x:c r="A12" s="13" t="str">
        <x:v>Quarterly retire / consolidate</x:v>
      </x:c>
      <x:c r="B12" s="13" t="str">
        <x:v>A/R</x:v>
      </x:c>
      <x:c r="C12" s="13" t="str">
        <x:v>C</x:v>
      </x:c>
      <x:c r="D12" s="13" t="str">
        <x:v>I</x:v>
      </x:c>
      <x:c r="E12" s="13" t="str">
        <x:v>C</x:v>
      </x:c>
      <x:c r="F12" s="13" t="str">
        <x:v>Portfolio review to retire, consolidate or expand.</x:v>
      </x:c>
    </x:row>
  </x:sheetData>
  <x:pageMargins left="0.7" right="0.7" top="0.75" bottom="0.75" header="0.3" footer="0.3"/>
  <x:tableParts count="1">
    <x:tablePart xmlns:r="http://schemas.openxmlformats.org/officeDocument/2006/relationships" r:id="R24afc029923e4af1"/>
  </x:tableParts>
</x:worksheet>
</file>

<file path=xl/worksheets/sheet6.xml><?xml version="1.0" encoding="utf-8"?>
<x:worksheet xmlns:x="http://schemas.openxmlformats.org/spreadsheetml/2006/main">
  <x:sheetFormatPr defaultRowHeight="15"/>
  <x:sheetData>
    <x:row r="1" ht="30" customHeight="1">
      <x:c r="A1" s="6" t="str">
        <x:v>Category</x:v>
      </x:c>
      <x:c r="B1" s="6" t="str">
        <x:v>Value</x:v>
      </x:c>
    </x:row>
    <x:row r="2">
      <x:c r="A2" s="13" t="str">
        <x:v>Plane</x:v>
      </x:c>
      <x:c r="B2" s="13" t="str">
        <x:v>User Plane</x:v>
      </x:c>
    </x:row>
    <x:row r="3">
      <x:c r="A3" s="13" t="str">
        <x:v>Plane</x:v>
      </x:c>
      <x:c r="B3" s="13" t="str">
        <x:v>Development Plane</x:v>
      </x:c>
    </x:row>
    <x:row r="4">
      <x:c r="A4" s="13" t="str">
        <x:v>Plane</x:v>
      </x:c>
      <x:c r="B4" s="13" t="str">
        <x:v>Control Plane</x:v>
      </x:c>
    </x:row>
    <x:row r="5">
      <x:c r="A5" s="13" t="str">
        <x:v>Plane</x:v>
      </x:c>
      <x:c r="B5" s="13" t="str">
        <x:v>MCP</x:v>
      </x:c>
    </x:row>
    <x:row r="6">
      <x:c r="A6" s="13" t="str">
        <x:v>Plane</x:v>
      </x:c>
      <x:c r="B6" s="13" t="str">
        <x:v>Agent Runtime</x:v>
      </x:c>
    </x:row>
    <x:row r="7">
      <x:c r="A7" s="13" t="str">
        <x:v>Epic Stream</x:v>
      </x:c>
      <x:c r="B7" s="13" t="str">
        <x:v>UI</x:v>
      </x:c>
    </x:row>
    <x:row r="8">
      <x:c r="A8" s="13" t="str">
        <x:v>Epic Stream</x:v>
      </x:c>
      <x:c r="B8" s="13" t="str">
        <x:v>Backend</x:v>
      </x:c>
    </x:row>
    <x:row r="9">
      <x:c r="A9" s="13" t="str">
        <x:v>Epic Stream</x:v>
      </x:c>
      <x:c r="B9" s="13" t="str">
        <x:v>Data Science</x:v>
      </x:c>
    </x:row>
    <x:row r="10">
      <x:c r="A10" s="13" t="str">
        <x:v>Epic Stream</x:v>
      </x:c>
      <x:c r="B10" s="13" t="str">
        <x:v>Data Science Exploration</x:v>
      </x:c>
    </x:row>
    <x:row r="11">
      <x:c r="A11" s="13" t="str">
        <x:v>Epic Stream</x:v>
      </x:c>
      <x:c r="B11" s="13" t="str">
        <x:v>Collator</x:v>
      </x:c>
    </x:row>
    <x:row r="12">
      <x:c r="A12" s="13" t="str">
        <x:v>Priority</x:v>
      </x:c>
      <x:c r="B12" s="13" t="str">
        <x:v>P0 - Must Have</x:v>
      </x:c>
    </x:row>
    <x:row r="13">
      <x:c r="A13" s="13" t="str">
        <x:v>Priority</x:v>
      </x:c>
      <x:c r="B13" s="13" t="str">
        <x:v>P1 - Should Have</x:v>
      </x:c>
    </x:row>
    <x:row r="14">
      <x:c r="A14" s="13" t="str">
        <x:v>Priority</x:v>
      </x:c>
      <x:c r="B14" s="13" t="str">
        <x:v>P2 - Could Have</x:v>
      </x:c>
    </x:row>
    <x:row r="15">
      <x:c r="A15" s="13" t="str">
        <x:v>Status</x:v>
      </x:c>
      <x:c r="B15" s="13" t="str">
        <x:v>Proposed</x:v>
      </x:c>
    </x:row>
    <x:row r="16">
      <x:c r="A16" s="13" t="str">
        <x:v>Status</x:v>
      </x:c>
      <x:c r="B16" s="13" t="str">
        <x:v>Ready</x:v>
      </x:c>
    </x:row>
    <x:row r="17">
      <x:c r="A17" s="13" t="str">
        <x:v>Status</x:v>
      </x:c>
      <x:c r="B17" s="13" t="str">
        <x:v>In Progress</x:v>
      </x:c>
    </x:row>
    <x:row r="18">
      <x:c r="A18" s="13" t="str">
        <x:v>Status</x:v>
      </x:c>
      <x:c r="B18" s="13" t="str">
        <x:v>Blocked</x:v>
      </x:c>
    </x:row>
    <x:row r="19">
      <x:c r="A19" s="13" t="str">
        <x:v>Status</x:v>
      </x:c>
      <x:c r="B19" s="13" t="str">
        <x:v>Done</x:v>
      </x:c>
    </x:row>
    <x:row r="20">
      <x:c r="A20" s="13" t="str">
        <x:v>Phase</x:v>
      </x:c>
      <x:c r="B20" s="13" t="str">
        <x:v>Days 0-30 Foundations</x:v>
      </x:c>
    </x:row>
    <x:row r="21">
      <x:c r="A21" s="13" t="str">
        <x:v>Phase</x:v>
      </x:c>
      <x:c r="B21" s="13" t="str">
        <x:v>Days 30-60 Onboard &amp; Build</x:v>
      </x:c>
    </x:row>
    <x:row r="22">
      <x:c r="A22" s="13" t="str">
        <x:v>Phase</x:v>
      </x:c>
      <x:c r="B22" s="13" t="str">
        <x:v>Days 60-90 First Promotion</x:v>
      </x:c>
    </x:row>
    <x:row r="23">
      <x:c r="A23" s="13" t="str">
        <x:v>Phase</x:v>
      </x:c>
      <x:c r="B23" s="13" t="str">
        <x:v>Post-MVP</x:v>
      </x:c>
    </x:row>
    <x:row r="24">
      <x:c r="A24" s="13" t="str">
        <x:v>Issue Type</x:v>
      </x:c>
      <x:c r="B24" s="13" t="str">
        <x:v>Epic</x:v>
      </x:c>
    </x:row>
    <x:row r="25">
      <x:c r="A25" s="13" t="str">
        <x:v>Issue Type</x:v>
      </x:c>
      <x:c r="B25" s="13" t="str">
        <x:v>Story</x:v>
      </x:c>
    </x:row>
    <x:row r="26">
      <x:c r="A26" s="13" t="str">
        <x:v>Issue Type</x:v>
      </x:c>
      <x:c r="B26" s="13" t="str">
        <x:v>Spike</x:v>
      </x:c>
    </x:row>
    <x:row r="27">
      <x:c r="A27" s="13" t="str">
        <x:v>Issue Type</x:v>
      </x:c>
      <x:c r="B27" s="13" t="str">
        <x:v>Task</x:v>
      </x:c>
    </x:row>
    <x:row r="28">
      <x:c r="A28" s="13" t="str">
        <x:v>Owner Role</x:v>
      </x:c>
      <x:c r="B28" s="13" t="str">
        <x:v>Product Manager</x:v>
      </x:c>
    </x:row>
    <x:row r="29">
      <x:c r="A29" s="13" t="str">
        <x:v>Owner Role</x:v>
      </x:c>
      <x:c r="B29" s="13" t="str">
        <x:v>Senior Developer</x:v>
      </x:c>
    </x:row>
    <x:row r="30">
      <x:c r="A30" s="13" t="str">
        <x:v>Owner Role</x:v>
      </x:c>
      <x:c r="B30" s="13" t="str">
        <x:v>UI Engineer</x:v>
      </x:c>
    </x:row>
    <x:row r="31">
      <x:c r="A31" s="13" t="str">
        <x:v>Owner Role</x:v>
      </x:c>
      <x:c r="B31" s="13" t="str">
        <x:v>Backend Engineer</x:v>
      </x:c>
    </x:row>
    <x:row r="32">
      <x:c r="A32" s="13" t="str">
        <x:v>Owner Role</x:v>
      </x:c>
      <x:c r="B32" s="13" t="str">
        <x:v>Data Scientist</x:v>
      </x:c>
    </x:row>
    <x:row r="33">
      <x:c r="A33" s="13" t="str">
        <x:v>Owner Role</x:v>
      </x:c>
      <x:c r="B33" s="13" t="str">
        <x:v>DS Lead</x:v>
      </x:c>
    </x:row>
    <x:row r="34">
      <x:c r="A34" s="13" t="str">
        <x:v>Owner Role</x:v>
      </x:c>
      <x:c r="B34" s="13" t="str">
        <x:v>Collator Lead</x:v>
      </x:c>
    </x:row>
    <x:row r="35">
      <x:c r="A35" s="13" t="str">
        <x:v>Owner Role</x:v>
      </x:c>
      <x:c r="B35" s="13" t="str">
        <x:v>Platform Engineer</x:v>
      </x:c>
    </x:row>
    <x:row r="36">
      <x:c r="A36" s="13" t="str">
        <x:v>Owner Role</x:v>
      </x:c>
      <x:c r="B36" s="13" t="str">
        <x:v>Risk/Compliance Partner</x:v>
      </x:c>
    </x:row>
    <x:row r="37">
      <x:c r="A37" s="13" t="str">
        <x:v>Owner Role</x:v>
      </x:c>
      <x:c r="B37" s="13" t="str">
        <x:v>Enterprise Platform Partner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7" t="str">
        <x:v>AgentOPS Backlog Workbook</x:v>
      </x:c>
      <x:c r="B1" s="37" t="str"/>
    </x:row>
    <x:row r="2" ht="62" customHeight="1">
      <x:c r="A2" s="42" t="str">
        <x:v>Purpose</x:v>
      </x:c>
      <x:c r="B2" s="13" t="str">
        <x:v>Initial JIRA-ready backlog for the AgentOPS operating model across User Plane, Development Plane, Control Plane, MCP and Google ADK-based Agent Runtime.</x:v>
      </x:c>
    </x:row>
    <x:row r="3" ht="62" customHeight="1">
      <x:c r="A3" s="42" t="str">
        <x:v>How to refine</x:v>
      </x:c>
      <x:c r="B3" s="13" t="str">
        <x:v>Review JIRA_Epics first, then refine JIRA_Stories by owner, priority, points, dependencies and target sprint. Replace placeholder Issue Keys with actual JIRA keys after import.</x:v>
      </x:c>
    </x:row>
    <x:row r="4" ht="62" customHeight="1">
      <x:c r="A4" s="42" t="str">
        <x:v>JIRA import mapping</x:v>
      </x:c>
      <x:c r="B4" s="13" t="str">
        <x:v>Issue Type, Summary, Description / Scope, Acceptance Criteria, Priority, Epic Link, Labels, Story Points, Status and Primary Owner Role map directly to common JIRA fields or custom fields.</x:v>
      </x:c>
    </x:row>
    <x:row r="5" ht="62" customHeight="1">
      <x:c r="A5" s="42" t="str">
        <x:v>Definitions</x:v>
      </x:c>
      <x:c r="B5" s="13" t="str">
        <x:v>Template = Agent Class; Workflow = UI-defined agentic flow; User Plane = user actions/authoring experience; Development Plane = compile, validate and package agentic workflow; Control Plane = governance, promotion, audit, observability and policy enforcement; MCP = shared tool registry and tool-call contract; Agent Runtime = Google ADK-based pod runtime integrated with COINS/R2D2/model gateway.</x:v>
      </x:c>
    </x:row>
    <x:row r="6" ht="62" customHeight="1">
      <x:c r="A6" s="42" t="str">
        <x:v>Suggested first review</x:v>
      </x:c>
      <x:c r="B6" s="13" t="str">
        <x:v>Confirm: (1) flagship agent use cases, (2) Enterprise Platform ownership/SLA for approved model registry/runtime, (3) MVP template list, (4) reviewer roster, (5) promotion gate thresholds.</x:v>
      </x:c>
    </x:row>
  </x:sheetData>
  <x:mergeCells>
    <x:mergeCell ref="A1:B1"/>
  </x:mergeCells>
  <x:pageMargins left="0.7" right="0.7" top="0.75" bottom="0.75" header="0.3" footer="0.3"/>
</x:worksheet>
</file>