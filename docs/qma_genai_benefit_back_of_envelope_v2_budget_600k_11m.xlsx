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enefit Summary" sheetId="1" state="visible" r:id="rId1"/>
    <sheet xmlns:r="http://schemas.openxmlformats.org/officeDocument/2006/relationships" name="Back_of_Envelope" sheetId="2" state="visible" r:id="rId2"/>
    <sheet xmlns:r="http://schemas.openxmlformats.org/officeDocument/2006/relationships" name="Assumptions" sheetId="3" state="visible" r:id="rId3"/>
  </sheets>
  <definedNames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0.0"/>
    <numFmt numFmtId="167" formatCode="$#,##0.0,,&quot;M&quot;"/>
    <numFmt numFmtId="168" formatCode="0.0x"/>
  </numFmts>
  <fonts count="11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1F4E79"/>
      <sz val="11"/>
    </font>
    <font>
      <name val="Carlito"/>
      <i val="1"/>
      <sz val="11"/>
    </font>
    <font>
      <name val="Carlito"/>
      <i val="1"/>
      <color rgb="FF333333"/>
      <sz val="11"/>
    </font>
    <font>
      <name val="Carlito"/>
      <b val="1"/>
      <sz val="11"/>
    </font>
    <font>
      <name val="Carlito"/>
      <b val="1"/>
      <color rgb="FF1F4E79"/>
      <sz val="12"/>
    </font>
    <font>
      <name val="Carlito"/>
      <color rgb="FF5B9BD5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001F4E79"/>
      </patternFill>
    </fill>
  </fills>
  <borders count="2">
    <border/>
    <border/>
  </borders>
  <cellStyleXfs count="1">
    <xf numFmtId="0" fontId="0" fillId="0" borderId="1"/>
  </cellStyleXfs>
  <cellXfs count="2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3" fontId="0" fillId="4" borderId="0" applyAlignment="1" pivotButton="0" quotePrefix="0" xfId="0">
      <alignment wrapText="1"/>
    </xf>
    <xf numFmtId="3" fontId="0" fillId="4" borderId="1" applyAlignment="1" pivotButton="0" quotePrefix="0" xfId="0">
      <alignment wrapText="1"/>
    </xf>
    <xf numFmtId="164" fontId="0" fillId="4" borderId="0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165" fontId="0" fillId="4" borderId="0" applyAlignment="1" pivotButton="0" quotePrefix="0" xfId="0">
      <alignment wrapText="1"/>
    </xf>
    <xf numFmtId="165" fontId="0" fillId="4" borderId="1" applyAlignment="1" pivotButton="0" quotePrefix="0" xfId="0">
      <alignment wrapText="1"/>
    </xf>
    <xf numFmtId="2" fontId="0" fillId="4" borderId="0" applyAlignment="1" pivotButton="0" quotePrefix="0" xfId="0">
      <alignment wrapText="1"/>
    </xf>
    <xf numFmtId="2" fontId="0" fillId="4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0" applyAlignment="1" pivotButton="0" quotePrefix="0" xfId="0">
      <alignment vertical="top" wrapText="1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vertical="top" wrapText="1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0" fillId="7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0" fillId="4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6" fillId="7" borderId="1" applyAlignment="1" pivotButton="0" quotePrefix="0" xfId="0">
      <alignment horizontal="center" wrapText="1"/>
    </xf>
    <xf numFmtId="165" fontId="6" fillId="7" borderId="0" applyAlignment="1" pivotButton="0" quotePrefix="0" xfId="0">
      <alignment wrapText="1"/>
    </xf>
    <xf numFmtId="165" fontId="6" fillId="7" borderId="1" applyAlignment="1" pivotButton="0" quotePrefix="0" xfId="0">
      <alignment wrapText="1"/>
    </xf>
    <xf numFmtId="9" fontId="0" fillId="4" borderId="0" applyAlignment="1" pivotButton="0" quotePrefix="0" xfId="0">
      <alignment wrapText="1"/>
    </xf>
    <xf numFmtId="9" fontId="6" fillId="7" borderId="0" applyAlignment="1" pivotButton="0" quotePrefix="0" xfId="0">
      <alignment wrapText="1"/>
    </xf>
    <xf numFmtId="9" fontId="0" fillId="4" borderId="1" applyAlignment="1" pivotButton="0" quotePrefix="0" xfId="0">
      <alignment wrapText="1"/>
    </xf>
    <xf numFmtId="9" fontId="6" fillId="7" borderId="1" applyAlignment="1" pivotButton="0" quotePrefix="0" xfId="0">
      <alignment wrapText="1"/>
    </xf>
    <xf numFmtId="3" fontId="6" fillId="7" borderId="0" applyAlignment="1" pivotButton="0" quotePrefix="0" xfId="0">
      <alignment wrapText="1"/>
    </xf>
    <xf numFmtId="3" fontId="6" fillId="7" borderId="1" applyAlignment="1" pivotButton="0" quotePrefix="0" xfId="0">
      <alignment wrapText="1"/>
    </xf>
    <xf numFmtId="2" fontId="6" fillId="7" borderId="0" applyAlignment="1" pivotButton="0" quotePrefix="0" xfId="0">
      <alignment wrapText="1"/>
    </xf>
    <xf numFmtId="2" fontId="6" fillId="7" borderId="1" applyAlignment="1" pivotButton="0" quotePrefix="0" xfId="0">
      <alignment wrapText="1"/>
    </xf>
    <xf numFmtId="10" fontId="0" fillId="4" borderId="0" applyAlignment="1" pivotButton="0" quotePrefix="0" xfId="0">
      <alignment wrapText="1"/>
    </xf>
    <xf numFmtId="10" fontId="6" fillId="7" borderId="0" applyAlignment="1" pivotButton="0" quotePrefix="0" xfId="0">
      <alignment wrapText="1"/>
    </xf>
    <xf numFmtId="10" fontId="0" fillId="4" borderId="1" applyAlignment="1" pivotButton="0" quotePrefix="0" xfId="0">
      <alignment wrapText="1"/>
    </xf>
    <xf numFmtId="10" fontId="6" fillId="7" borderId="1" applyAlignment="1" pivotButton="0" quotePrefix="0" xfId="0">
      <alignment wrapText="1"/>
    </xf>
    <xf numFmtId="166" fontId="0" fillId="4" borderId="0" applyAlignment="1" pivotButton="0" quotePrefix="0" xfId="0">
      <alignment wrapText="1"/>
    </xf>
    <xf numFmtId="166" fontId="6" fillId="7" borderId="0" applyAlignment="1" pivotButton="0" quotePrefix="0" xfId="0">
      <alignment wrapText="1"/>
    </xf>
    <xf numFmtId="166" fontId="0" fillId="4" borderId="1" applyAlignment="1" pivotButton="0" quotePrefix="0" xfId="0">
      <alignment wrapText="1"/>
    </xf>
    <xf numFmtId="166" fontId="6" fillId="7" borderId="1" applyAlignment="1" pivotButton="0" quotePrefix="0" xfId="0">
      <alignment wrapText="1"/>
    </xf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7" fillId="8" borderId="1" pivotButton="0" quotePrefix="0" xfId="0"/>
    <xf numFmtId="0" fontId="7" fillId="8" borderId="1" applyAlignment="1" pivotButton="0" quotePrefix="0" xfId="0">
      <alignment wrapText="1"/>
    </xf>
    <xf numFmtId="0" fontId="7" fillId="8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vertical="center" wrapText="1"/>
    </xf>
    <xf numFmtId="167" fontId="7" fillId="8" borderId="0" applyAlignment="1" pivotButton="0" quotePrefix="0" xfId="0">
      <alignment horizontal="center" vertical="center" wrapText="1"/>
    </xf>
    <xf numFmtId="167" fontId="7" fillId="8" borderId="1" applyAlignment="1" pivotButton="0" quotePrefix="0" xfId="0">
      <alignment horizontal="center" vertical="center" wrapText="1"/>
    </xf>
    <xf numFmtId="2" fontId="7" fillId="8" borderId="0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3" fontId="7" fillId="8" borderId="0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horizontal="left"/>
    </xf>
    <xf numFmtId="0" fontId="2" fillId="9" borderId="0" applyAlignment="1" pivotButton="0" quotePrefix="0" xfId="0">
      <alignment horizontal="left" vertical="center"/>
    </xf>
    <xf numFmtId="0" fontId="0" fillId="9" borderId="1" pivotButton="0" quotePrefix="0" xfId="0"/>
    <xf numFmtId="0" fontId="2" fillId="9" borderId="1" pivotButton="0" quotePrefix="0" xfId="0"/>
    <xf numFmtId="0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left" vertical="center"/>
    </xf>
    <xf numFmtId="0" fontId="6" fillId="8" borderId="0" pivotButton="0" quotePrefix="0" xfId="0"/>
    <xf numFmtId="0" fontId="6" fillId="8" borderId="1" pivotButton="0" quotePrefix="0" xfId="0"/>
    <xf numFmtId="3" fontId="0" fillId="0" borderId="0" pivotButton="0" quotePrefix="0" xfId="0"/>
    <xf numFmtId="3" fontId="0" fillId="0" borderId="1" pivotButton="0" quotePrefix="0" xfId="0"/>
    <xf numFmtId="167" fontId="0" fillId="0" borderId="0" pivotButton="0" quotePrefix="0" xfId="0"/>
    <xf numFmtId="167" fontId="6" fillId="8" borderId="0" pivotButton="0" quotePrefix="0" xfId="0"/>
    <xf numFmtId="167" fontId="0" fillId="0" borderId="1" pivotButton="0" quotePrefix="0" xfId="0"/>
    <xf numFmtId="167" fontId="6" fillId="8" borderId="1" pivotButton="0" quotePrefix="0" xfId="0"/>
    <xf numFmtId="166" fontId="0" fillId="0" borderId="0" pivotButton="0" quotePrefix="0" xfId="0"/>
    <xf numFmtId="166" fontId="0" fillId="0" borderId="1" pivotButton="0" quotePrefix="0" xfId="0"/>
    <xf numFmtId="3" fontId="6" fillId="8" borderId="0" pivotButton="0" quotePrefix="0" xfId="0"/>
    <xf numFmtId="3" fontId="6" fillId="8" borderId="1" pivotButton="0" quotePrefix="0" xfId="0"/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wrapText="1"/>
    </xf>
    <xf numFmtId="0" fontId="0" fillId="10" borderId="1" pivotButton="0" quotePrefix="0" xfId="0"/>
    <xf numFmtId="0" fontId="4" fillId="10" borderId="1" pivotButton="0" quotePrefix="0" xfId="0"/>
    <xf numFmtId="0" fontId="4" fillId="10" borderId="1" applyAlignment="1" pivotButton="0" quotePrefix="0" xfId="0">
      <alignment wrapText="1"/>
    </xf>
    <xf numFmtId="165" fontId="0" fillId="0" borderId="0" pivotButton="0" quotePrefix="0" xfId="0"/>
    <xf numFmtId="165" fontId="6" fillId="8" borderId="0" pivotButton="0" quotePrefix="0" xfId="0"/>
    <xf numFmtId="165" fontId="0" fillId="0" borderId="1" pivotButton="0" quotePrefix="0" xfId="0"/>
    <xf numFmtId="165" fontId="6" fillId="8" borderId="1" pivotButton="0" quotePrefix="0" xfId="0"/>
    <xf numFmtId="2" fontId="0" fillId="0" borderId="0" pivotButton="0" quotePrefix="0" xfId="0"/>
    <xf numFmtId="2" fontId="6" fillId="8" borderId="0" pivotButton="0" quotePrefix="0" xfId="0"/>
    <xf numFmtId="2" fontId="0" fillId="0" borderId="1" pivotButton="0" quotePrefix="0" xfId="0"/>
    <xf numFmtId="2" fontId="6" fillId="8" borderId="1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0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167" fontId="6" fillId="8" borderId="0" applyAlignment="1" pivotButton="0" quotePrefix="0" xfId="0">
      <alignment vertical="center"/>
    </xf>
    <xf numFmtId="3" fontId="6" fillId="8" borderId="0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6" fillId="8" borderId="0" applyAlignment="1" pivotButton="0" quotePrefix="0" xfId="0">
      <alignment vertical="center"/>
    </xf>
    <xf numFmtId="2" fontId="6" fillId="8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167" fontId="6" fillId="8" borderId="1" applyAlignment="1" pivotButton="0" quotePrefix="0" xfId="0">
      <alignment vertical="center"/>
    </xf>
    <xf numFmtId="3" fontId="6" fillId="8" borderId="1" applyAlignment="1" pivotButton="0" quotePrefix="0" xfId="0">
      <alignment vertical="center"/>
    </xf>
    <xf numFmtId="0" fontId="4" fillId="1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5" fontId="6" fillId="8" borderId="1" applyAlignment="1" pivotButton="0" quotePrefix="0" xfId="0">
      <alignment vertical="center"/>
    </xf>
    <xf numFmtId="2" fontId="6" fillId="8" borderId="1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165" fontId="0" fillId="4" borderId="0" applyAlignment="1" pivotButton="0" quotePrefix="0" xfId="0">
      <alignment vertical="center" wrapText="1"/>
    </xf>
    <xf numFmtId="9" fontId="0" fillId="4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2" fontId="0" fillId="4" borderId="0" applyAlignment="1" pivotButton="0" quotePrefix="0" xfId="0">
      <alignment vertical="center" wrapText="1"/>
    </xf>
    <xf numFmtId="10" fontId="0" fillId="4" borderId="0" applyAlignment="1" pivotButton="0" quotePrefix="0" xfId="0">
      <alignment vertical="center" wrapText="1"/>
    </xf>
    <xf numFmtId="166" fontId="0" fillId="4" borderId="0" applyAlignment="1" pivotButton="0" quotePrefix="0" xfId="0">
      <alignment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vertical="center" wrapText="1"/>
    </xf>
    <xf numFmtId="165" fontId="6" fillId="7" borderId="0" applyAlignment="1" pivotButton="0" quotePrefix="0" xfId="0">
      <alignment vertical="center" wrapText="1"/>
    </xf>
    <xf numFmtId="9" fontId="6" fillId="7" borderId="0" applyAlignment="1" pivotButton="0" quotePrefix="0" xfId="0">
      <alignment vertical="center" wrapText="1"/>
    </xf>
    <xf numFmtId="3" fontId="6" fillId="7" borderId="0" applyAlignment="1" pivotButton="0" quotePrefix="0" xfId="0">
      <alignment vertical="center" wrapText="1"/>
    </xf>
    <xf numFmtId="2" fontId="6" fillId="7" borderId="0" applyAlignment="1" pivotButton="0" quotePrefix="0" xfId="0">
      <alignment vertical="center" wrapText="1"/>
    </xf>
    <xf numFmtId="10" fontId="6" fillId="7" borderId="0" applyAlignment="1" pivotButton="0" quotePrefix="0" xfId="0">
      <alignment vertical="center" wrapText="1"/>
    </xf>
    <xf numFmtId="166" fontId="6" fillId="7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165" fontId="6" fillId="7" borderId="1" applyAlignment="1" pivotButton="0" quotePrefix="0" xfId="0">
      <alignment vertical="center" wrapText="1"/>
    </xf>
    <xf numFmtId="9" fontId="6" fillId="7" borderId="1" applyAlignment="1" pivotButton="0" quotePrefix="0" xfId="0">
      <alignment vertical="center" wrapText="1"/>
    </xf>
    <xf numFmtId="3" fontId="6" fillId="7" borderId="1" applyAlignment="1" pivotButton="0" quotePrefix="0" xfId="0">
      <alignment vertical="center" wrapText="1"/>
    </xf>
    <xf numFmtId="2" fontId="6" fillId="7" borderId="1" applyAlignment="1" pivotButton="0" quotePrefix="0" xfId="0">
      <alignment vertical="center" wrapText="1"/>
    </xf>
    <xf numFmtId="10" fontId="6" fillId="7" borderId="1" applyAlignment="1" pivotButton="0" quotePrefix="0" xfId="0">
      <alignment vertical="center" wrapText="1"/>
    </xf>
    <xf numFmtId="166" fontId="6" fillId="7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67" fontId="7" fillId="8" borderId="0" applyAlignment="1" pivotButton="0" quotePrefix="0" xfId="0">
      <alignment horizontal="center" vertical="center" wrapText="1"/>
    </xf>
    <xf numFmtId="2" fontId="7" fillId="8" borderId="0" applyAlignment="1" pivotButton="0" quotePrefix="0" xfId="0">
      <alignment horizontal="center" vertical="center" wrapText="1"/>
    </xf>
    <xf numFmtId="3" fontId="7" fillId="8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6" fillId="8" borderId="0" applyAlignment="1" pivotButton="0" quotePrefix="0" xfId="0">
      <alignment vertical="center"/>
    </xf>
    <xf numFmtId="3" fontId="6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6" fillId="8" borderId="0" applyAlignment="1" pivotButton="0" quotePrefix="0" xfId="0">
      <alignment vertical="center"/>
    </xf>
    <xf numFmtId="2" fontId="6" fillId="8" borderId="0" applyAlignment="1" pivotButton="0" quotePrefix="0" xfId="0">
      <alignment vertical="center"/>
    </xf>
    <xf numFmtId="0" fontId="9" fillId="11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8" fontId="0" fillId="0" borderId="0" pivotButton="0" quotePrefix="0" xfId="0"/>
    <xf numFmtId="165" fontId="0" fillId="4" borderId="0" applyAlignment="1" pivotButton="0" quotePrefix="0" xfId="0">
      <alignment vertical="center" wrapText="1"/>
    </xf>
    <xf numFmtId="9" fontId="0" fillId="4" borderId="0" applyAlignment="1" pivotButton="0" quotePrefix="0" xfId="0">
      <alignment vertical="center" wrapText="1"/>
    </xf>
    <xf numFmtId="3" fontId="0" fillId="4" borderId="0" applyAlignment="1" pivotButton="0" quotePrefix="0" xfId="0">
      <alignment vertical="center" wrapText="1"/>
    </xf>
    <xf numFmtId="2" fontId="0" fillId="4" borderId="0" applyAlignment="1" pivotButton="0" quotePrefix="0" xfId="0">
      <alignment vertical="center" wrapText="1"/>
    </xf>
    <xf numFmtId="10" fontId="0" fillId="4" borderId="0" applyAlignment="1" pivotButton="0" quotePrefix="0" xfId="0">
      <alignment vertical="center" wrapText="1"/>
    </xf>
    <xf numFmtId="166" fontId="0" fillId="4" borderId="0" applyAlignment="1" pivotButton="0" quotePrefix="0" xfId="0">
      <alignment vertical="center" wrapText="1"/>
    </xf>
    <xf numFmtId="165" fontId="6" fillId="7" borderId="0" applyAlignment="1" pivotButton="0" quotePrefix="0" xfId="0">
      <alignment vertical="center" wrapText="1"/>
    </xf>
    <xf numFmtId="9" fontId="6" fillId="7" borderId="0" applyAlignment="1" pivotButton="0" quotePrefix="0" xfId="0">
      <alignment vertical="center" wrapText="1"/>
    </xf>
    <xf numFmtId="3" fontId="6" fillId="7" borderId="0" applyAlignment="1" pivotButton="0" quotePrefix="0" xfId="0">
      <alignment vertical="center" wrapText="1"/>
    </xf>
    <xf numFmtId="2" fontId="6" fillId="7" borderId="0" applyAlignment="1" pivotButton="0" quotePrefix="0" xfId="0">
      <alignment vertical="center" wrapText="1"/>
    </xf>
    <xf numFmtId="10" fontId="6" fillId="7" borderId="0" applyAlignment="1" pivotButton="0" quotePrefix="0" xfId="0">
      <alignment vertical="center" wrapText="1"/>
    </xf>
    <xf numFmtId="166" fontId="6" fillId="7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1" t="inlineStr">
        <is>
          <t>QMA GenAI Benefits — Executive Back-of-Envelope Summary</t>
        </is>
      </c>
      <c r="B1" s="1" t="n"/>
      <c r="C1" s="1" t="n"/>
      <c r="D1" s="1" t="n"/>
      <c r="E1" s="1" t="n"/>
      <c r="F1" s="1" t="n"/>
      <c r="G1" s="1" t="n"/>
      <c r="H1" s="1" t="n"/>
      <c r="I1" s="130" t="n"/>
      <c r="J1" s="130" t="n"/>
      <c r="K1" s="130" t="n"/>
      <c r="L1" s="130" t="n"/>
    </row>
    <row r="2" ht="58" customHeight="1">
      <c r="A2" s="146" t="inlineStr">
        <is>
          <t>Core story: Against an implementation budget of approximately $600K, the QMA GenAI platform is projected to deliver approximately $11M in annual business benefit through intelligent routing, document automation, EDGE Assist, semantic search and operational insights.</t>
        </is>
      </c>
      <c r="B2" s="1" t="n"/>
      <c r="C2" s="1" t="n"/>
      <c r="D2" s="1" t="n"/>
      <c r="E2" s="1" t="n"/>
      <c r="F2" s="1" t="n"/>
      <c r="G2" s="1" t="n"/>
      <c r="H2" s="1" t="n"/>
      <c r="I2" s="130" t="n"/>
      <c r="J2" s="130" t="n"/>
      <c r="K2" s="130" t="n"/>
      <c r="L2" s="130" t="n"/>
    </row>
    <row r="3">
      <c r="A3" s="130" t="n"/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0" t="n"/>
    </row>
    <row r="4">
      <c r="A4" s="82" t="inlineStr">
        <is>
          <t>Annual Benefit Target</t>
        </is>
      </c>
      <c r="B4" s="82" t="str"/>
      <c r="C4" s="82" t="inlineStr">
        <is>
          <t>Equivalent FTEs</t>
        </is>
      </c>
      <c r="D4" s="82" t="str"/>
      <c r="E4" s="82" t="inlineStr">
        <is>
          <t>Hours Saved / Year</t>
        </is>
      </c>
      <c r="F4" s="82" t="str"/>
      <c r="G4" s="82" t="inlineStr">
        <is>
          <t>Avg Seconds Saved / Email</t>
        </is>
      </c>
      <c r="H4" s="82" t="str"/>
      <c r="I4" s="130" t="n"/>
      <c r="J4" s="130" t="n"/>
      <c r="K4" s="130" t="n"/>
      <c r="L4" s="130" t="n"/>
    </row>
    <row r="5">
      <c r="A5" s="195">
        <f>Assumptions!B9</f>
        <v/>
      </c>
      <c r="B5" s="82" t="n"/>
      <c r="C5" s="196">
        <f>Assumptions!B10</f>
        <v/>
      </c>
      <c r="D5" s="82" t="n"/>
      <c r="E5" s="197">
        <f>Assumptions!B11</f>
        <v/>
      </c>
      <c r="F5" s="82" t="n"/>
      <c r="G5" s="196">
        <f>Assumptions!B12</f>
        <v/>
      </c>
      <c r="H5" s="82" t="n"/>
      <c r="I5" s="130" t="n"/>
      <c r="J5" s="130" t="n"/>
      <c r="K5" s="130" t="n"/>
      <c r="L5" s="130" t="n"/>
    </row>
    <row r="6">
      <c r="A6" s="82" t="inlineStr">
        <is>
          <t>2026 steady-state</t>
        </is>
      </c>
      <c r="B6" s="82" t="str"/>
      <c r="C6" s="82" t="inlineStr">
        <is>
          <t>Target benefit ÷ loaded cost/FTE</t>
        </is>
      </c>
      <c r="D6" s="82" t="str"/>
      <c r="E6" s="82" t="inlineStr">
        <is>
          <t>FTEs × productive hours</t>
        </is>
      </c>
      <c r="F6" s="82" t="str"/>
      <c r="G6" s="82" t="inlineStr">
        <is>
          <t>Across projected 2026 volume</t>
        </is>
      </c>
      <c r="H6" s="82" t="str"/>
      <c r="I6" s="130" t="n"/>
      <c r="J6" s="130" t="n"/>
      <c r="K6" s="130" t="n"/>
      <c r="L6" s="130" t="n"/>
    </row>
    <row r="7">
      <c r="A7" s="130" t="n"/>
      <c r="B7" s="130" t="n"/>
      <c r="C7" s="130" t="n"/>
      <c r="D7" s="130" t="n"/>
      <c r="E7" s="130" t="n"/>
      <c r="F7" s="130" t="n"/>
      <c r="G7" s="130" t="n"/>
      <c r="H7" s="130" t="n"/>
      <c r="I7" s="130" t="n"/>
      <c r="J7" s="130" t="n"/>
      <c r="K7" s="130" t="n"/>
      <c r="L7" s="130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  <c r="I8" s="130" t="n"/>
      <c r="J8" s="130" t="n"/>
      <c r="K8" s="130" t="n"/>
      <c r="L8" s="130" t="n"/>
    </row>
    <row r="9">
      <c r="A9" s="101" t="inlineStr">
        <is>
          <t>Three-Year Benefit Projection</t>
        </is>
      </c>
      <c r="B9" s="1" t="n"/>
      <c r="C9" s="1" t="n"/>
      <c r="D9" s="1" t="n"/>
      <c r="E9" s="1" t="n"/>
      <c r="F9" s="1" t="n"/>
      <c r="G9" s="1" t="n"/>
      <c r="H9" s="1" t="n"/>
      <c r="I9" s="130" t="n"/>
      <c r="J9" s="130" t="n"/>
      <c r="K9" s="130" t="n"/>
      <c r="L9" s="130" t="n"/>
    </row>
    <row r="10">
      <c r="A10" s="16" t="inlineStr">
        <is>
          <t>Year</t>
        </is>
      </c>
      <c r="B10" s="16" t="inlineStr">
        <is>
          <t>Projected QMA Volume</t>
        </is>
      </c>
      <c r="C10" s="16" t="inlineStr">
        <is>
          <t>Annual Benefit</t>
        </is>
      </c>
      <c r="D10" s="16" t="inlineStr">
        <is>
          <t>FTE Equivalent</t>
        </is>
      </c>
      <c r="E10" s="16" t="inlineStr">
        <is>
          <t>Hours Saved</t>
        </is>
      </c>
      <c r="F10" s="130" t="n"/>
      <c r="G10" s="130" t="n"/>
      <c r="H10" s="130" t="n"/>
      <c r="I10" s="130" t="n"/>
      <c r="J10" s="130" t="n"/>
      <c r="K10" s="130" t="n"/>
      <c r="L10" s="130" t="n"/>
    </row>
    <row r="11">
      <c r="A11" s="130" t="n">
        <v>2026</v>
      </c>
      <c r="B11" s="198">
        <f>Assumptions!B6</f>
        <v/>
      </c>
      <c r="C11" s="199">
        <f>Assumptions!B9</f>
        <v/>
      </c>
      <c r="D11" s="200">
        <f>C11/Assumptions!$B$8</f>
        <v/>
      </c>
      <c r="E11" s="198">
        <f>D11*Assumptions!$B$7</f>
        <v/>
      </c>
      <c r="F11" s="130" t="n"/>
      <c r="G11" s="130" t="n"/>
      <c r="H11" s="130" t="n"/>
      <c r="I11" s="130" t="n"/>
      <c r="J11" s="130" t="n"/>
      <c r="K11" s="130" t="n"/>
      <c r="L11" s="130" t="n"/>
    </row>
    <row r="12">
      <c r="A12" s="130" t="n">
        <v>2027</v>
      </c>
      <c r="B12" s="198">
        <f>B11*(1+Assumptions!$B$5)</f>
        <v/>
      </c>
      <c r="C12" s="199">
        <f>C11*(1+Assumptions!$B$5)</f>
        <v/>
      </c>
      <c r="D12" s="200">
        <f>C12/Assumptions!$B$8</f>
        <v/>
      </c>
      <c r="E12" s="198">
        <f>D12*Assumptions!$B$7</f>
        <v/>
      </c>
      <c r="F12" s="130" t="n"/>
      <c r="G12" s="130" t="n"/>
      <c r="H12" s="130" t="n"/>
      <c r="I12" s="130" t="n"/>
      <c r="J12" s="130" t="n"/>
      <c r="K12" s="130" t="n"/>
      <c r="L12" s="130" t="n"/>
    </row>
    <row r="13">
      <c r="A13" s="130" t="n">
        <v>2028</v>
      </c>
      <c r="B13" s="198">
        <f>B12*(1+Assumptions!$B$5)</f>
        <v/>
      </c>
      <c r="C13" s="199">
        <f>C12*(1+Assumptions!$B$5)</f>
        <v/>
      </c>
      <c r="D13" s="200">
        <f>C13/Assumptions!$B$8</f>
        <v/>
      </c>
      <c r="E13" s="198">
        <f>D13*Assumptions!$B$7</f>
        <v/>
      </c>
      <c r="F13" s="130" t="n"/>
      <c r="G13" s="130" t="n"/>
      <c r="H13" s="130" t="n"/>
      <c r="I13" s="130" t="n"/>
      <c r="J13" s="130" t="n"/>
      <c r="K13" s="130" t="n"/>
      <c r="L13" s="130" t="n"/>
    </row>
    <row r="14">
      <c r="A14" s="135" t="inlineStr">
        <is>
          <t>3-Year Total</t>
        </is>
      </c>
      <c r="B14" s="135" t="str"/>
      <c r="C14" s="201">
        <f>SUM(C11:C13)</f>
        <v/>
      </c>
      <c r="D14" s="135" t="str"/>
      <c r="E14" s="202">
        <f>SUM(E11:E13)</f>
        <v/>
      </c>
      <c r="F14" s="130" t="n"/>
      <c r="G14" s="130" t="n"/>
      <c r="H14" s="130" t="n"/>
      <c r="I14" s="130" t="n"/>
      <c r="J14" s="130" t="n"/>
      <c r="K14" s="130" t="n"/>
      <c r="L14" s="130" t="n"/>
    </row>
    <row r="15">
      <c r="A15" s="130" t="n"/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30" t="n"/>
      <c r="L15" s="130" t="n"/>
    </row>
    <row r="16" ht="36" customHeight="1">
      <c r="A16" s="153" t="inlineStr">
        <is>
          <t>Note: $3.4M × 3 years = $10.2M flat. Applying the 8.5% annual volume-growth assumption gives about $11.1M over 2026–2028, which reconciles to the stated ~$11M three-year benefit.</t>
        </is>
      </c>
      <c r="B16" s="1" t="n"/>
      <c r="C16" s="1" t="n"/>
      <c r="D16" s="1" t="n"/>
      <c r="E16" s="1" t="n"/>
      <c r="F16" s="1" t="n"/>
      <c r="G16" s="1" t="n"/>
      <c r="H16" s="1" t="n"/>
      <c r="I16" s="130" t="n"/>
      <c r="J16" s="130" t="n"/>
      <c r="K16" s="130" t="n"/>
      <c r="L16" s="130" t="n"/>
    </row>
    <row r="17">
      <c r="A17" s="130" t="n"/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30" t="n"/>
    </row>
    <row r="18">
      <c r="A18" s="130" t="n"/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  <c r="L18" s="130" t="n"/>
    </row>
    <row r="19">
      <c r="A19" s="101" t="inlineStr">
        <is>
          <t>Feature-Level Annual Benefit Allocation</t>
        </is>
      </c>
      <c r="B19" s="1" t="n"/>
      <c r="C19" s="1" t="n"/>
      <c r="D19" s="1" t="n"/>
      <c r="E19" s="1" t="n"/>
      <c r="F19" s="1" t="n"/>
      <c r="G19" s="1" t="n"/>
      <c r="H19" s="1" t="n"/>
      <c r="I19" s="130" t="n"/>
      <c r="J19" s="130" t="n"/>
      <c r="K19" s="130" t="n"/>
      <c r="L19" s="130" t="n"/>
    </row>
    <row r="20">
      <c r="A20" s="16" t="inlineStr">
        <is>
          <t>Sr No</t>
        </is>
      </c>
      <c r="B20" s="16" t="inlineStr">
        <is>
          <t>Feature</t>
        </is>
      </c>
      <c r="C20" s="16" t="inlineStr">
        <is>
          <t>Annual Benefit</t>
        </is>
      </c>
      <c r="D20" s="16" t="inlineStr">
        <is>
          <t>FTE Equivalent</t>
        </is>
      </c>
      <c r="E20" s="16" t="inlineStr">
        <is>
          <t>Visual allocation</t>
        </is>
      </c>
      <c r="F20" s="130" t="n"/>
      <c r="G20" s="130" t="n"/>
      <c r="H20" s="130" t="n"/>
      <c r="I20" s="130" t="n"/>
      <c r="J20" s="130" t="n"/>
      <c r="K20" s="130" t="n"/>
      <c r="L20" s="130" t="n"/>
    </row>
    <row r="21">
      <c r="A21" s="130">
        <f>Back_of_Envelope!A5</f>
        <v/>
      </c>
      <c r="B21" s="139">
        <f>Back_of_Envelope!B5</f>
        <v/>
      </c>
      <c r="C21" s="203">
        <f>Back_of_Envelope!C5</f>
        <v/>
      </c>
      <c r="D21" s="204">
        <f>Back_of_Envelope!F5</f>
        <v/>
      </c>
      <c r="E21" s="142">
        <f>REPT("█",ROUND(Back_of_Envelope!D5*50,0))</f>
        <v/>
      </c>
      <c r="F21" s="130" t="n"/>
      <c r="G21" s="130" t="n"/>
      <c r="H21" s="130" t="n"/>
      <c r="I21" s="130" t="n"/>
      <c r="J21" s="130" t="n"/>
      <c r="K21" s="130" t="n"/>
      <c r="L21" s="130" t="n"/>
    </row>
    <row r="22">
      <c r="A22" s="130">
        <f>Back_of_Envelope!A6</f>
        <v/>
      </c>
      <c r="B22" s="139">
        <f>Back_of_Envelope!B6</f>
        <v/>
      </c>
      <c r="C22" s="203">
        <f>Back_of_Envelope!C6</f>
        <v/>
      </c>
      <c r="D22" s="204">
        <f>Back_of_Envelope!F6</f>
        <v/>
      </c>
      <c r="E22" s="142">
        <f>REPT("█",ROUND(Back_of_Envelope!D6*50,0))</f>
        <v/>
      </c>
      <c r="F22" s="130" t="n"/>
      <c r="G22" s="130" t="n"/>
      <c r="H22" s="130" t="n"/>
      <c r="I22" s="130" t="n"/>
      <c r="J22" s="130" t="n"/>
      <c r="K22" s="130" t="n"/>
      <c r="L22" s="130" t="n"/>
    </row>
    <row r="23">
      <c r="A23" s="130">
        <f>Back_of_Envelope!A7</f>
        <v/>
      </c>
      <c r="B23" s="139">
        <f>Back_of_Envelope!B7</f>
        <v/>
      </c>
      <c r="C23" s="203">
        <f>Back_of_Envelope!C7</f>
        <v/>
      </c>
      <c r="D23" s="204">
        <f>Back_of_Envelope!F7</f>
        <v/>
      </c>
      <c r="E23" s="142">
        <f>REPT("█",ROUND(Back_of_Envelope!D7*50,0))</f>
        <v/>
      </c>
      <c r="F23" s="130" t="n"/>
      <c r="G23" s="130" t="n"/>
      <c r="H23" s="130" t="n"/>
      <c r="I23" s="130" t="n"/>
      <c r="J23" s="130" t="n"/>
      <c r="K23" s="130" t="n"/>
      <c r="L23" s="130" t="n"/>
    </row>
    <row r="24">
      <c r="A24" s="130">
        <f>Back_of_Envelope!A8</f>
        <v/>
      </c>
      <c r="B24" s="139">
        <f>Back_of_Envelope!B8</f>
        <v/>
      </c>
      <c r="C24" s="203">
        <f>Back_of_Envelope!C8</f>
        <v/>
      </c>
      <c r="D24" s="204">
        <f>Back_of_Envelope!F8</f>
        <v/>
      </c>
      <c r="E24" s="142">
        <f>REPT("█",ROUND(Back_of_Envelope!D8*50,0))</f>
        <v/>
      </c>
      <c r="F24" s="130" t="n"/>
      <c r="G24" s="130" t="n"/>
      <c r="H24" s="130" t="n"/>
      <c r="I24" s="130" t="n"/>
      <c r="J24" s="130" t="n"/>
      <c r="K24" s="130" t="n"/>
      <c r="L24" s="130" t="n"/>
    </row>
    <row r="25">
      <c r="A25" s="130">
        <f>Back_of_Envelope!A9</f>
        <v/>
      </c>
      <c r="B25" s="139">
        <f>Back_of_Envelope!B9</f>
        <v/>
      </c>
      <c r="C25" s="203">
        <f>Back_of_Envelope!C9</f>
        <v/>
      </c>
      <c r="D25" s="204">
        <f>Back_of_Envelope!F9</f>
        <v/>
      </c>
      <c r="E25" s="142">
        <f>REPT("█",ROUND(Back_of_Envelope!D9*50,0))</f>
        <v/>
      </c>
      <c r="F25" s="130" t="n"/>
      <c r="G25" s="130" t="n"/>
      <c r="H25" s="130" t="n"/>
      <c r="I25" s="130" t="n"/>
      <c r="J25" s="130" t="n"/>
      <c r="K25" s="130" t="n"/>
      <c r="L25" s="130" t="n"/>
    </row>
    <row r="26">
      <c r="A26" s="130">
        <f>Back_of_Envelope!A10</f>
        <v/>
      </c>
      <c r="B26" s="139">
        <f>Back_of_Envelope!B10</f>
        <v/>
      </c>
      <c r="C26" s="203">
        <f>Back_of_Envelope!C10</f>
        <v/>
      </c>
      <c r="D26" s="204">
        <f>Back_of_Envelope!F10</f>
        <v/>
      </c>
      <c r="E26" s="142">
        <f>REPT("█",ROUND(Back_of_Envelope!D10*50,0))</f>
        <v/>
      </c>
      <c r="F26" s="130" t="n"/>
      <c r="G26" s="130" t="n"/>
      <c r="H26" s="130" t="n"/>
      <c r="I26" s="130" t="n"/>
      <c r="J26" s="130" t="n"/>
      <c r="K26" s="130" t="n"/>
      <c r="L26" s="130" t="n"/>
    </row>
    <row r="27">
      <c r="A27" s="130">
        <f>Back_of_Envelope!A11</f>
        <v/>
      </c>
      <c r="B27" s="139">
        <f>Back_of_Envelope!B11</f>
        <v/>
      </c>
      <c r="C27" s="203">
        <f>Back_of_Envelope!C11</f>
        <v/>
      </c>
      <c r="D27" s="204">
        <f>Back_of_Envelope!F11</f>
        <v/>
      </c>
      <c r="E27" s="142">
        <f>REPT("█",ROUND(Back_of_Envelope!D11*50,0))</f>
        <v/>
      </c>
      <c r="F27" s="130" t="n"/>
      <c r="G27" s="130" t="n"/>
      <c r="H27" s="130" t="n"/>
      <c r="I27" s="130" t="n"/>
      <c r="J27" s="130" t="n"/>
      <c r="K27" s="130" t="n"/>
      <c r="L27" s="130" t="n"/>
    </row>
    <row r="28">
      <c r="A28" s="135" t="str"/>
      <c r="B28" s="135" t="inlineStr">
        <is>
          <t>Total</t>
        </is>
      </c>
      <c r="C28" s="205">
        <f>SUM(C21:C27)</f>
        <v/>
      </c>
      <c r="D28" s="206">
        <f>SUM(D21:D27)</f>
        <v/>
      </c>
      <c r="E28" s="135" t="str"/>
      <c r="F28" s="130" t="n"/>
      <c r="G28" s="130" t="n"/>
      <c r="H28" s="130" t="n"/>
      <c r="I28" s="130" t="n"/>
      <c r="J28" s="130" t="n"/>
      <c r="K28" s="130" t="n"/>
      <c r="L28" s="130" t="n"/>
    </row>
    <row r="29">
      <c r="A29" s="130" t="n"/>
      <c r="B29" s="130" t="n"/>
      <c r="C29" s="130" t="n"/>
      <c r="D29" s="130" t="n"/>
      <c r="E29" s="130" t="n"/>
      <c r="F29" s="130" t="n"/>
      <c r="G29" s="130" t="n"/>
      <c r="H29" s="130" t="n"/>
      <c r="I29" s="130" t="n"/>
      <c r="J29" s="130" t="n"/>
      <c r="K29" s="130" t="n"/>
      <c r="L29" s="130" t="n"/>
    </row>
    <row r="30">
      <c r="A30" s="130" t="n"/>
      <c r="B30" s="130" t="n"/>
      <c r="C30" s="130" t="n"/>
      <c r="D30" s="130" t="n"/>
      <c r="E30" s="130" t="n"/>
      <c r="F30" s="130" t="n"/>
      <c r="G30" s="130" t="n"/>
      <c r="H30" s="130" t="n"/>
      <c r="I30" s="130" t="n"/>
      <c r="J30" s="130" t="n"/>
      <c r="K30" s="130" t="n"/>
      <c r="L30" s="130" t="n"/>
    </row>
    <row r="31">
      <c r="A31" s="101" t="inlineStr">
        <is>
          <t>Recommended Benefit Driver Mapping</t>
        </is>
      </c>
      <c r="B31" s="1" t="n"/>
      <c r="C31" s="1" t="n"/>
      <c r="D31" s="1" t="n"/>
      <c r="E31" s="1" t="n"/>
      <c r="F31" s="130" t="n"/>
      <c r="G31" s="130" t="n"/>
      <c r="H31" s="130" t="n"/>
      <c r="I31" s="130" t="n"/>
      <c r="J31" s="130" t="n"/>
      <c r="K31" s="130" t="n"/>
      <c r="L31" s="130" t="n"/>
    </row>
    <row r="32">
      <c r="A32" s="16" t="inlineStr">
        <is>
          <t>Feature Group</t>
        </is>
      </c>
      <c r="B32" s="16" t="inlineStr">
        <is>
          <t>Benefit</t>
        </is>
      </c>
      <c r="C32" s="16" t="inlineStr">
        <is>
          <t>Benefit Driver</t>
        </is>
      </c>
      <c r="D32" s="16" t="inlineStr">
        <is>
          <t>Measure Type</t>
        </is>
      </c>
      <c r="E32" s="16" t="inlineStr">
        <is>
          <t>Unit Measure</t>
        </is>
      </c>
      <c r="F32" s="130" t="n"/>
      <c r="G32" s="130" t="n"/>
      <c r="H32" s="130" t="n"/>
      <c r="I32" s="130" t="n"/>
      <c r="J32" s="130" t="n"/>
      <c r="K32" s="130" t="n"/>
      <c r="L32" s="130" t="n"/>
    </row>
    <row r="33">
      <c r="A33" s="139" t="inlineStr">
        <is>
          <t>Routing / Auto Suggest</t>
        </is>
      </c>
      <c r="B33" s="139" t="inlineStr">
        <is>
          <t>Driving Efficiency</t>
        </is>
      </c>
      <c r="C33" s="139" t="inlineStr">
        <is>
          <t>Client Experience + Process Efficiency</t>
        </is>
      </c>
      <c r="D33" s="139" t="inlineStr">
        <is>
          <t>Manual Touchpoints</t>
        </is>
      </c>
      <c r="E33" s="139" t="inlineStr">
        <is>
          <t>#</t>
        </is>
      </c>
      <c r="F33" s="130" t="n"/>
      <c r="G33" s="130" t="n"/>
      <c r="H33" s="130" t="n"/>
      <c r="I33" s="130" t="n"/>
      <c r="J33" s="130" t="n"/>
      <c r="K33" s="130" t="n"/>
      <c r="L33" s="130" t="n"/>
    </row>
    <row r="34">
      <c r="A34" s="139" t="inlineStr">
        <is>
          <t>Document Classification / STP</t>
        </is>
      </c>
      <c r="B34" s="139" t="inlineStr">
        <is>
          <t>Driving Efficiency</t>
        </is>
      </c>
      <c r="C34" s="139" t="inlineStr">
        <is>
          <t>Process Efficiency</t>
        </is>
      </c>
      <c r="D34" s="139" t="inlineStr">
        <is>
          <t>Manual Touchpoints</t>
        </is>
      </c>
      <c r="E34" s="139" t="inlineStr">
        <is>
          <t>#</t>
        </is>
      </c>
      <c r="F34" s="130" t="n"/>
      <c r="G34" s="130" t="n"/>
      <c r="H34" s="130" t="n"/>
      <c r="I34" s="130" t="n"/>
      <c r="J34" s="130" t="n"/>
      <c r="K34" s="130" t="n"/>
      <c r="L34" s="130" t="n"/>
    </row>
    <row r="35">
      <c r="A35" s="139" t="inlineStr">
        <is>
          <t>EDGE Assist / Smart Search</t>
        </is>
      </c>
      <c r="B35" s="139" t="inlineStr">
        <is>
          <t>Driving Efficiency</t>
        </is>
      </c>
      <c r="C35" s="139" t="inlineStr">
        <is>
          <t>Client Experience</t>
        </is>
      </c>
      <c r="D35" s="139" t="inlineStr">
        <is>
          <t>Other qualitative value + hours saved</t>
        </is>
      </c>
      <c r="E35" s="139" t="inlineStr">
        <is>
          <t>hours</t>
        </is>
      </c>
      <c r="F35" s="130" t="n"/>
      <c r="G35" s="130" t="n"/>
      <c r="H35" s="130" t="n"/>
      <c r="I35" s="130" t="n"/>
      <c r="J35" s="130" t="n"/>
      <c r="K35" s="130" t="n"/>
      <c r="L35" s="130" t="n"/>
    </row>
    <row r="36">
      <c r="A36" s="139" t="inlineStr">
        <is>
          <t>Topic Modeling / QMA Insights</t>
        </is>
      </c>
      <c r="B36" s="139" t="inlineStr">
        <is>
          <t>Driving Efficiency</t>
        </is>
      </c>
      <c r="C36" s="139" t="inlineStr">
        <is>
          <t>Client Experience</t>
        </is>
      </c>
      <c r="D36" s="139" t="inlineStr">
        <is>
          <t>Customer Satisfaction / NPS / VOC + process themes</t>
        </is>
      </c>
      <c r="E36" s="139" t="inlineStr">
        <is>
          <t>% / themes</t>
        </is>
      </c>
      <c r="F36" s="130" t="n"/>
      <c r="G36" s="130" t="n"/>
      <c r="H36" s="130" t="n"/>
      <c r="I36" s="130" t="n"/>
      <c r="J36" s="130" t="n"/>
      <c r="K36" s="130" t="n"/>
      <c r="L36" s="130" t="n"/>
    </row>
    <row r="37">
      <c r="A37" s="139" t="inlineStr">
        <is>
          <t>Annualized FTE Benefit</t>
        </is>
      </c>
      <c r="B37" s="139" t="inlineStr">
        <is>
          <t>Delivering Financial Impact</t>
        </is>
      </c>
      <c r="C37" s="139" t="inlineStr">
        <is>
          <t>Operational Expense Savings/Efficiency</t>
        </is>
      </c>
      <c r="D37" s="139" t="inlineStr">
        <is>
          <t>Expense Savings / Head Count</t>
        </is>
      </c>
      <c r="E37" s="139" t="inlineStr">
        <is>
          <t>$ / FTE</t>
        </is>
      </c>
      <c r="F37" s="130" t="n"/>
      <c r="G37" s="130" t="n"/>
      <c r="H37" s="130" t="n"/>
      <c r="I37" s="130" t="n"/>
      <c r="J37" s="130" t="n"/>
      <c r="K37" s="130" t="n"/>
      <c r="L37" s="130" t="n"/>
    </row>
    <row r="38">
      <c r="A38" s="130" t="n"/>
      <c r="B38" s="130" t="n"/>
      <c r="C38" s="130" t="n"/>
      <c r="D38" s="130" t="n"/>
      <c r="E38" s="130" t="n"/>
      <c r="F38" s="130" t="n"/>
      <c r="G38" s="207" t="inlineStr">
        <is>
          <t>Investment Metrics</t>
        </is>
      </c>
      <c r="H38" s="130" t="n"/>
      <c r="I38" s="130" t="n"/>
      <c r="J38" s="130" t="n"/>
      <c r="K38" s="130" t="n"/>
      <c r="L38" s="130" t="n"/>
    </row>
    <row r="39">
      <c r="A39" s="130" t="n"/>
      <c r="B39" s="130" t="n"/>
      <c r="C39" s="130" t="n"/>
      <c r="D39" s="130" t="n"/>
      <c r="E39" s="130" t="n"/>
      <c r="F39" s="130" t="n"/>
      <c r="G39" s="208" t="inlineStr">
        <is>
          <t>Project Budget</t>
        </is>
      </c>
      <c r="H39" s="203" t="n">
        <v>600000</v>
      </c>
      <c r="I39" s="130" t="n"/>
      <c r="J39" s="130" t="n"/>
      <c r="K39" s="130" t="n"/>
      <c r="L39" s="130" t="n"/>
    </row>
    <row r="40">
      <c r="A40" s="130" t="n"/>
      <c r="B40" s="130" t="n"/>
      <c r="C40" s="130" t="n"/>
      <c r="D40" s="130" t="n"/>
      <c r="E40" s="130" t="n"/>
      <c r="F40" s="130" t="n"/>
      <c r="G40" s="208" t="inlineStr">
        <is>
          <t>Projected Annual Benefit</t>
        </is>
      </c>
      <c r="H40" s="203" t="n">
        <v>11000000</v>
      </c>
      <c r="I40" s="130" t="n"/>
      <c r="J40" s="130" t="n"/>
      <c r="K40" s="130" t="n"/>
      <c r="L40" s="130" t="n"/>
    </row>
    <row r="41">
      <c r="G41" s="209" t="inlineStr">
        <is>
          <t>Benefit : Cost Ratio</t>
        </is>
      </c>
      <c r="H41" s="210">
        <f>H40/H39</f>
        <v/>
      </c>
    </row>
    <row r="42">
      <c r="G42" s="209" t="inlineStr">
        <is>
          <t>ROI Multiple</t>
        </is>
      </c>
      <c r="H42" s="210">
        <f>H41</f>
        <v/>
      </c>
    </row>
  </sheetData>
  <mergeCells count="6">
    <mergeCell ref="A9:H9"/>
    <mergeCell ref="A2:H2"/>
    <mergeCell ref="A16:H16"/>
    <mergeCell ref="A19:H19"/>
    <mergeCell ref="A1:H1"/>
    <mergeCell ref="A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6" customWidth="1" min="4" max="4"/>
    <col width="15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45" customWidth="1" min="11" max="11"/>
    <col width="45" customWidth="1" min="12" max="12"/>
  </cols>
  <sheetData>
    <row r="1" ht="28" customHeight="1">
      <c r="A1" s="11" t="inlineStr">
        <is>
          <t>QMA GenAI Benefits — Feature-Level Back-of-Envelope Calculation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146" t="inlineStr">
        <is>
          <t>Purpose: translate the $3.4M annual target into hours, FTEs and feature-level benefit. Change assumptions or allocation percentages to refresh all values.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30" t="n"/>
      <c r="B3" s="130" t="n"/>
      <c r="C3" s="130" t="n"/>
      <c r="D3" s="130" t="n"/>
      <c r="E3" s="130" t="n"/>
      <c r="F3" s="130" t="n"/>
      <c r="G3" s="130" t="n"/>
      <c r="H3" s="130" t="n"/>
      <c r="I3" s="130" t="n"/>
      <c r="J3" s="130" t="n"/>
      <c r="K3" s="130" t="n"/>
      <c r="L3" s="130" t="n"/>
    </row>
    <row r="4" ht="42" customHeight="1">
      <c r="A4" s="16" t="inlineStr">
        <is>
          <t>Sr No</t>
        </is>
      </c>
      <c r="B4" s="16" t="inlineStr">
        <is>
          <t>Main Feature Description</t>
        </is>
      </c>
      <c r="C4" s="16" t="inlineStr">
        <is>
          <t>Recommended Saving due to Feature</t>
        </is>
      </c>
      <c r="D4" s="16" t="inlineStr">
        <is>
          <t>Allocation of $3.4M Target</t>
        </is>
      </c>
      <c r="E4" s="16" t="inlineStr">
        <is>
          <t>Hours Saved / Year</t>
        </is>
      </c>
      <c r="F4" s="16" t="inlineStr">
        <is>
          <t>FTE Equivalent</t>
        </is>
      </c>
      <c r="G4" s="16" t="inlineStr">
        <is>
          <t>Cumulative FTEs</t>
        </is>
      </c>
      <c r="H4" s="16" t="inlineStr">
        <is>
          <t>% of 2026 QMA Volume Touched</t>
        </is>
      </c>
      <c r="I4" s="16" t="inlineStr">
        <is>
          <t>Touched Emails / Events / Year</t>
        </is>
      </c>
      <c r="J4" s="16" t="inlineStr">
        <is>
          <t>Required Avg Seconds Saved / Touched Event</t>
        </is>
      </c>
      <c r="K4" s="16" t="inlineStr">
        <is>
          <t>Saving Mechanism / BOE Rationale</t>
        </is>
      </c>
      <c r="L4" s="16" t="inlineStr">
        <is>
          <t>Validation Evidence Needed</t>
        </is>
      </c>
    </row>
    <row r="5">
      <c r="A5" s="160" t="n">
        <v>1</v>
      </c>
      <c r="B5" s="161" t="inlineStr">
        <is>
          <t>Intent Classification + Auto Suggest routing</t>
        </is>
      </c>
      <c r="C5" s="211">
        <f>D5*Assumptions!$B$9</f>
        <v/>
      </c>
      <c r="D5" s="212" t="n">
        <v>0.29</v>
      </c>
      <c r="E5" s="213">
        <f>C5/Assumptions!$B$8*Assumptions!$B$7</f>
        <v/>
      </c>
      <c r="F5" s="214">
        <f>E5/Assumptions!$B$7</f>
        <v/>
      </c>
      <c r="G5" s="214">
        <f>SUM($F$5:F5)</f>
        <v/>
      </c>
      <c r="H5" s="215" t="n">
        <v>0.035</v>
      </c>
      <c r="I5" s="213">
        <f>H5*Assumptions!$B$6</f>
        <v/>
      </c>
      <c r="J5" s="216">
        <f>IF(I5=0,0,E5*3600/I5)</f>
        <v/>
      </c>
      <c r="K5" s="161" t="inlineStr">
        <is>
          <t>Classify incoming QMA intent and recommend the correct operational queue/group so fewer emails are manually triaged, forwarded, or reworked.</t>
        </is>
      </c>
      <c r="L5" s="161" t="inlineStr">
        <is>
          <t>Routing accuracy by intent, % emails auto-suggested, manual reroute rate, before/after triage handling time.</t>
        </is>
      </c>
    </row>
    <row r="6">
      <c r="A6" s="160" t="n">
        <v>2</v>
      </c>
      <c r="B6" s="161" t="inlineStr">
        <is>
          <t>EDGE Assist summaries + trading/reference data + fail insights</t>
        </is>
      </c>
      <c r="C6" s="211">
        <f>D6*Assumptions!$B$9</f>
        <v/>
      </c>
      <c r="D6" s="212" t="n">
        <v>0.23</v>
      </c>
      <c r="E6" s="213">
        <f>C6/Assumptions!$B$8*Assumptions!$B$7</f>
        <v/>
      </c>
      <c r="F6" s="214">
        <f>E6/Assumptions!$B$7</f>
        <v/>
      </c>
      <c r="G6" s="214">
        <f>SUM($F$5:F6)</f>
        <v/>
      </c>
      <c r="H6" s="215" t="n">
        <v>0.015</v>
      </c>
      <c r="I6" s="213">
        <f>H6*Assumptions!$B$6</f>
        <v/>
      </c>
      <c r="J6" s="216">
        <f>IF(I6=0,0,E6*3600/I6)</f>
        <v/>
      </c>
      <c r="K6" s="161" t="inlineStr">
        <is>
          <t>Summarize long email threads and enrich with trading systems/reference data/fail insights so analysts spend less time reading and reconciling facts.</t>
        </is>
      </c>
      <c r="L6" s="161" t="inlineStr">
        <is>
          <t>Average thread review time, assisted cases, analyst acceptance rate, reduction in back-and-forth.</t>
        </is>
      </c>
    </row>
    <row r="7">
      <c r="A7" s="160" t="n">
        <v>3</v>
      </c>
      <c r="B7" s="161" t="inlineStr">
        <is>
          <t>Document &amp; email classification for invoice processing</t>
        </is>
      </c>
      <c r="C7" s="211">
        <f>D7*Assumptions!$B$9</f>
        <v/>
      </c>
      <c r="D7" s="212" t="n">
        <v>0.13</v>
      </c>
      <c r="E7" s="213">
        <f>C7/Assumptions!$B$8*Assumptions!$B$7</f>
        <v/>
      </c>
      <c r="F7" s="214">
        <f>E7/Assumptions!$B$7</f>
        <v/>
      </c>
      <c r="G7" s="214">
        <f>SUM($F$5:F7)</f>
        <v/>
      </c>
      <c r="H7" s="215" t="n">
        <v>0.002</v>
      </c>
      <c r="I7" s="213">
        <f>H7*Assumptions!$B$6</f>
        <v/>
      </c>
      <c r="J7" s="216">
        <f>IF(I7=0,0,E7*3600/I7)</f>
        <v/>
      </c>
      <c r="K7" s="161" t="inlineStr">
        <is>
          <t>Classify attachments, isolate invoices, pair invoice/summary documents and prepare downstream case creation.</t>
        </is>
      </c>
      <c r="L7" s="161" t="inlineStr">
        <is>
          <t>Invoice volume, document classification accuracy, pairing accuracy, manual touch time avoided per invoice.</t>
        </is>
      </c>
    </row>
    <row r="8">
      <c r="A8" s="160" t="n">
        <v>4</v>
      </c>
      <c r="B8" s="161" t="inlineStr">
        <is>
          <t>Business Process Straight-Through Processing / case creation</t>
        </is>
      </c>
      <c r="C8" s="211">
        <f>D8*Assumptions!$B$9</f>
        <v/>
      </c>
      <c r="D8" s="212" t="n">
        <v>0.1</v>
      </c>
      <c r="E8" s="213">
        <f>C8/Assumptions!$B$8*Assumptions!$B$7</f>
        <v/>
      </c>
      <c r="F8" s="214">
        <f>E8/Assumptions!$B$7</f>
        <v/>
      </c>
      <c r="G8" s="214">
        <f>SUM($F$5:F8)</f>
        <v/>
      </c>
      <c r="H8" s="215" t="n">
        <v>0.0015</v>
      </c>
      <c r="I8" s="213">
        <f>H8*Assumptions!$B$6</f>
        <v/>
      </c>
      <c r="J8" s="216">
        <f>IF(I8=0,0,E8*3600/I8)</f>
        <v/>
      </c>
      <c r="K8" s="161" t="inlineStr">
        <is>
          <t>Automate repeatable routing/case-creation steps where intent, documents and operational ownership are unambiguous.</t>
        </is>
      </c>
      <c r="L8" s="161" t="inlineStr">
        <is>
          <t>STP eligible volumes, exception rate, case creation time, manual fallback volumes.</t>
        </is>
      </c>
    </row>
    <row r="9">
      <c r="A9" s="160" t="n">
        <v>5</v>
      </c>
      <c r="B9" s="161" t="inlineStr">
        <is>
          <t>Smart Search using semantic search</t>
        </is>
      </c>
      <c r="C9" s="211">
        <f>D9*Assumptions!$B$9</f>
        <v/>
      </c>
      <c r="D9" s="212" t="n">
        <v>0.09</v>
      </c>
      <c r="E9" s="213">
        <f>C9/Assumptions!$B$8*Assumptions!$B$7</f>
        <v/>
      </c>
      <c r="F9" s="214">
        <f>E9/Assumptions!$B$7</f>
        <v/>
      </c>
      <c r="G9" s="214">
        <f>SUM($F$5:F9)</f>
        <v/>
      </c>
      <c r="H9" s="215" t="n">
        <v>0.01</v>
      </c>
      <c r="I9" s="213">
        <f>H9*Assumptions!$B$6</f>
        <v/>
      </c>
      <c r="J9" s="216">
        <f>IF(I9=0,0,E9*3600/I9)</f>
        <v/>
      </c>
      <c r="K9" s="161" t="inlineStr">
        <is>
          <t>Allow analysts to find relevant prior emails, cases, entities and themes through semantic search instead of keyword/manual mailbox search.</t>
        </is>
      </c>
      <c r="L9" s="161" t="inlineStr">
        <is>
          <t>Search usage, click-through, time-to-find evidence, reduction in repeated requests.</t>
        </is>
      </c>
    </row>
    <row r="10">
      <c r="A10" s="160" t="n">
        <v>6</v>
      </c>
      <c r="B10" s="161" t="inlineStr">
        <is>
          <t>Margin Calls notification automation</t>
        </is>
      </c>
      <c r="C10" s="211">
        <f>D10*Assumptions!$B$9</f>
        <v/>
      </c>
      <c r="D10" s="212" t="n">
        <v>0.08</v>
      </c>
      <c r="E10" s="213">
        <f>C10/Assumptions!$B$8*Assumptions!$B$7</f>
        <v/>
      </c>
      <c r="F10" s="214">
        <f>E10/Assumptions!$B$7</f>
        <v/>
      </c>
      <c r="G10" s="214">
        <f>SUM($F$5:F10)</f>
        <v/>
      </c>
      <c r="H10" s="215" t="n">
        <v>0.0012</v>
      </c>
      <c r="I10" s="213">
        <f>H10*Assumptions!$B$6</f>
        <v/>
      </c>
      <c r="J10" s="216">
        <f>IF(I10=0,0,E10*3600/I10)</f>
        <v/>
      </c>
      <c r="K10" s="161" t="inlineStr">
        <is>
          <t>Classify margin-related messages, detect notification context and trigger the correct operational workflow/draft response.</t>
        </is>
      </c>
      <c r="L10" s="161" t="inlineStr">
        <is>
          <t>Margin email volume, notification accuracy, manual drafting time avoided, exception rate.</t>
        </is>
      </c>
    </row>
    <row r="11">
      <c r="A11" s="160" t="n">
        <v>7</v>
      </c>
      <c r="B11" s="161" t="inlineStr">
        <is>
          <t>Topic Modeling + QMA Insights</t>
        </is>
      </c>
      <c r="C11" s="211">
        <f>D11*Assumptions!$B$9</f>
        <v/>
      </c>
      <c r="D11" s="212" t="n">
        <v>0.08</v>
      </c>
      <c r="E11" s="213">
        <f>C11/Assumptions!$B$8*Assumptions!$B$7</f>
        <v/>
      </c>
      <c r="F11" s="214">
        <f>E11/Assumptions!$B$7</f>
        <v/>
      </c>
      <c r="G11" s="214">
        <f>SUM($F$5:F11)</f>
        <v/>
      </c>
      <c r="H11" s="215" t="n">
        <v>0.005</v>
      </c>
      <c r="I11" s="213">
        <f>H11*Assumptions!$B$6</f>
        <v/>
      </c>
      <c r="J11" s="216">
        <f>IF(I11=0,0,E11*3600/I11)</f>
        <v/>
      </c>
      <c r="K11" s="161" t="inlineStr">
        <is>
          <t>Cluster email themes in an unsupervised manner to identify where operations spends time and prioritize process redesign and automation.</t>
        </is>
      </c>
      <c r="L11" s="161" t="inlineStr">
        <is>
          <t>Cluster quality, top themes by volume/AHT, actions from insights, realized process-change benefit.</t>
        </is>
      </c>
    </row>
    <row r="12">
      <c r="A12" s="168" t="str"/>
      <c r="B12" s="169" t="inlineStr">
        <is>
          <t>Total / Reconciled to Target</t>
        </is>
      </c>
      <c r="C12" s="217">
        <f>SUM(C5:C11)</f>
        <v/>
      </c>
      <c r="D12" s="218">
        <f>SUM(D5:D11)</f>
        <v/>
      </c>
      <c r="E12" s="219">
        <f>SUM(E5:E11)</f>
        <v/>
      </c>
      <c r="F12" s="220">
        <f>SUM(F5:F11)</f>
        <v/>
      </c>
      <c r="G12" s="220">
        <f>F12</f>
        <v/>
      </c>
      <c r="H12" s="221" t="str"/>
      <c r="I12" s="219">
        <f>SUM(I5:I11)</f>
        <v/>
      </c>
      <c r="J12" s="222">
        <f>IF(I12=0,0,E12*3600/I12)</f>
        <v/>
      </c>
      <c r="K12" s="169" t="inlineStr">
        <is>
          <t>Total reconciles to the $3.4M annual benefit target.</t>
        </is>
      </c>
      <c r="L12" s="169" t="str"/>
    </row>
    <row r="13">
      <c r="A13" s="130" t="n"/>
      <c r="B13" s="130" t="n"/>
      <c r="C13" s="130" t="n"/>
      <c r="D13" s="130" t="n"/>
      <c r="E13" s="130" t="n"/>
      <c r="F13" s="130" t="n"/>
      <c r="G13" s="130" t="n"/>
      <c r="H13" s="130" t="n"/>
      <c r="I13" s="130" t="n"/>
      <c r="J13" s="130" t="n"/>
      <c r="K13" s="130" t="n"/>
      <c r="L13" s="130" t="n"/>
    </row>
    <row r="14">
      <c r="A14" s="130" t="n"/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  <c r="L14" s="130" t="n"/>
    </row>
    <row r="15">
      <c r="A15" s="130" t="n"/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30" t="n"/>
      <c r="L15" s="130" t="n"/>
    </row>
    <row r="16">
      <c r="A16" s="130" t="n"/>
      <c r="B16" s="130" t="n"/>
      <c r="C16" s="130" t="n"/>
      <c r="D16" s="130" t="n"/>
      <c r="E16" s="130" t="n"/>
      <c r="F16" s="130" t="n"/>
      <c r="G16" s="130" t="n"/>
      <c r="H16" s="130" t="n"/>
      <c r="I16" s="130" t="n"/>
      <c r="J16" s="130" t="n"/>
      <c r="K16" s="130" t="n"/>
      <c r="L16" s="130" t="n"/>
    </row>
    <row r="17">
      <c r="A17" s="130" t="n"/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30" t="n"/>
    </row>
    <row r="18">
      <c r="A18" s="130" t="n"/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  <c r="L18" s="130" t="n"/>
    </row>
    <row r="19">
      <c r="A19" s="130" t="n"/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30" t="n"/>
      <c r="L19" s="130" t="n"/>
    </row>
    <row r="20">
      <c r="A20" s="130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</row>
    <row r="21">
      <c r="A21" s="130" t="n"/>
      <c r="B21" s="130" t="n"/>
      <c r="C21" s="130" t="n"/>
      <c r="D21" s="130" t="n"/>
      <c r="E21" s="130" t="n"/>
      <c r="F21" s="130" t="n"/>
      <c r="G21" s="130" t="n"/>
      <c r="H21" s="130" t="n"/>
      <c r="I21" s="130" t="n"/>
      <c r="J21" s="130" t="n"/>
      <c r="K21" s="130" t="n"/>
      <c r="L21" s="130" t="n"/>
    </row>
    <row r="22">
      <c r="A22" s="130" t="n"/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  <c r="L22" s="130" t="n"/>
    </row>
    <row r="23">
      <c r="A23" s="130" t="n"/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</row>
    <row r="24">
      <c r="A24" s="130" t="n"/>
      <c r="B24" s="130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</row>
    <row r="25">
      <c r="A25" s="130" t="n"/>
      <c r="B25" s="130" t="n"/>
      <c r="C25" s="130" t="n"/>
      <c r="D25" s="130" t="n"/>
      <c r="E25" s="130" t="n"/>
      <c r="F25" s="130" t="n"/>
      <c r="G25" s="130" t="n"/>
      <c r="H25" s="130" t="n"/>
      <c r="I25" s="130" t="n"/>
      <c r="J25" s="130" t="n"/>
      <c r="K25" s="130" t="n"/>
      <c r="L25" s="130" t="n"/>
    </row>
    <row r="26">
      <c r="A26" s="130" t="n"/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  <c r="L26" s="130" t="n"/>
    </row>
    <row r="27">
      <c r="A27" s="130" t="n"/>
      <c r="B27" s="130" t="n"/>
      <c r="C27" s="130" t="n"/>
      <c r="D27" s="130" t="n"/>
      <c r="E27" s="130" t="n"/>
      <c r="F27" s="130" t="n"/>
      <c r="G27" s="130" t="n"/>
      <c r="H27" s="130" t="n"/>
      <c r="I27" s="130" t="n"/>
      <c r="J27" s="130" t="n"/>
      <c r="K27" s="130" t="n"/>
      <c r="L27" s="130" t="n"/>
    </row>
    <row r="28">
      <c r="A28" s="130" t="n"/>
      <c r="B28" s="130" t="n"/>
      <c r="C28" s="130" t="n"/>
      <c r="D28" s="130" t="n"/>
      <c r="E28" s="130" t="n"/>
      <c r="F28" s="130" t="n"/>
      <c r="G28" s="130" t="n"/>
      <c r="H28" s="130" t="n"/>
      <c r="I28" s="130" t="n"/>
      <c r="J28" s="130" t="n"/>
      <c r="K28" s="130" t="n"/>
      <c r="L28" s="130" t="n"/>
    </row>
    <row r="29">
      <c r="A29" s="130" t="n"/>
      <c r="B29" s="130" t="n"/>
      <c r="C29" s="130" t="n"/>
      <c r="D29" s="130" t="n"/>
      <c r="E29" s="130" t="n"/>
      <c r="F29" s="130" t="n"/>
      <c r="G29" s="130" t="n"/>
      <c r="H29" s="130" t="n"/>
      <c r="I29" s="130" t="n"/>
      <c r="J29" s="130" t="n"/>
      <c r="K29" s="130" t="n"/>
      <c r="L29" s="130" t="n"/>
    </row>
    <row r="30">
      <c r="A30" s="130" t="n"/>
      <c r="B30" s="130" t="n"/>
      <c r="C30" s="130" t="n"/>
      <c r="D30" s="130" t="n"/>
      <c r="E30" s="130" t="n"/>
      <c r="F30" s="130" t="n"/>
      <c r="G30" s="130" t="n"/>
      <c r="H30" s="130" t="n"/>
      <c r="I30" s="130" t="n"/>
      <c r="J30" s="130" t="n"/>
      <c r="K30" s="130" t="n"/>
      <c r="L30" s="130" t="n"/>
    </row>
    <row r="31">
      <c r="A31" s="130" t="n"/>
      <c r="B31" s="130" t="n"/>
      <c r="C31" s="130" t="n"/>
      <c r="D31" s="130" t="n"/>
      <c r="E31" s="130" t="n"/>
      <c r="F31" s="130" t="n"/>
      <c r="G31" s="130" t="n"/>
      <c r="H31" s="130" t="n"/>
      <c r="I31" s="130" t="n"/>
      <c r="J31" s="130" t="n"/>
      <c r="K31" s="130" t="n"/>
      <c r="L31" s="130" t="n"/>
    </row>
    <row r="32">
      <c r="A32" s="130" t="n"/>
      <c r="B32" s="130" t="n"/>
      <c r="C32" s="130" t="n"/>
      <c r="D32" s="130" t="n"/>
      <c r="E32" s="130" t="n"/>
      <c r="F32" s="130" t="n"/>
      <c r="G32" s="130" t="n"/>
      <c r="H32" s="130" t="n"/>
      <c r="I32" s="130" t="n"/>
      <c r="J32" s="130" t="n"/>
      <c r="K32" s="130" t="n"/>
      <c r="L32" s="130" t="n"/>
    </row>
    <row r="33">
      <c r="A33" s="130" t="n"/>
      <c r="B33" s="130" t="n"/>
      <c r="C33" s="130" t="n"/>
      <c r="D33" s="130" t="n"/>
      <c r="E33" s="130" t="n"/>
      <c r="F33" s="130" t="n"/>
      <c r="G33" s="130" t="n"/>
      <c r="H33" s="130" t="n"/>
      <c r="I33" s="130" t="n"/>
      <c r="J33" s="130" t="n"/>
      <c r="K33" s="130" t="n"/>
      <c r="L33" s="130" t="n"/>
    </row>
    <row r="34">
      <c r="A34" s="130" t="n"/>
      <c r="B34" s="130" t="n"/>
      <c r="C34" s="130" t="n"/>
      <c r="D34" s="130" t="n"/>
      <c r="E34" s="130" t="n"/>
      <c r="F34" s="130" t="n"/>
      <c r="G34" s="130" t="n"/>
      <c r="H34" s="130" t="n"/>
      <c r="I34" s="130" t="n"/>
      <c r="J34" s="130" t="n"/>
      <c r="K34" s="130" t="n"/>
      <c r="L34" s="130" t="n"/>
    </row>
    <row r="35">
      <c r="A35" s="130" t="n"/>
      <c r="B35" s="130" t="n"/>
      <c r="C35" s="130" t="n"/>
      <c r="D35" s="130" t="n"/>
      <c r="E35" s="130" t="n"/>
      <c r="F35" s="130" t="n"/>
      <c r="G35" s="130" t="n"/>
      <c r="H35" s="130" t="n"/>
      <c r="I35" s="130" t="n"/>
      <c r="J35" s="130" t="n"/>
      <c r="K35" s="130" t="n"/>
      <c r="L35" s="130" t="n"/>
    </row>
    <row r="36">
      <c r="A36" s="130" t="n"/>
      <c r="B36" s="130" t="n"/>
      <c r="C36" s="130" t="n"/>
      <c r="D36" s="130" t="n"/>
      <c r="E36" s="130" t="n"/>
      <c r="F36" s="130" t="n"/>
      <c r="G36" s="130" t="n"/>
      <c r="H36" s="130" t="n"/>
      <c r="I36" s="130" t="n"/>
      <c r="J36" s="130" t="n"/>
      <c r="K36" s="130" t="n"/>
      <c r="L36" s="130" t="n"/>
    </row>
    <row r="37">
      <c r="A37" s="130" t="n"/>
      <c r="B37" s="130" t="n"/>
      <c r="C37" s="130" t="n"/>
      <c r="D37" s="130" t="n"/>
      <c r="E37" s="130" t="n"/>
      <c r="F37" s="130" t="n"/>
      <c r="G37" s="130" t="n"/>
      <c r="H37" s="130" t="n"/>
      <c r="I37" s="130" t="n"/>
      <c r="J37" s="130" t="n"/>
      <c r="K37" s="130" t="n"/>
      <c r="L37" s="130" t="n"/>
    </row>
    <row r="38">
      <c r="A38" s="130" t="n"/>
      <c r="B38" s="130" t="n"/>
      <c r="C38" s="130" t="n"/>
      <c r="D38" s="130" t="n"/>
      <c r="E38" s="130" t="n"/>
      <c r="F38" s="130" t="n"/>
      <c r="G38" s="130" t="n"/>
      <c r="H38" s="130" t="n"/>
      <c r="I38" s="130" t="n"/>
      <c r="J38" s="130" t="n"/>
      <c r="K38" s="130" t="n"/>
      <c r="L38" s="130" t="n"/>
    </row>
    <row r="39">
      <c r="A39" s="130" t="n"/>
      <c r="B39" s="130" t="n"/>
      <c r="C39" s="130" t="n"/>
      <c r="D39" s="130" t="n"/>
      <c r="E39" s="130" t="n"/>
      <c r="F39" s="130" t="n"/>
      <c r="G39" s="130" t="n"/>
      <c r="H39" s="130" t="n"/>
      <c r="I39" s="130" t="n"/>
      <c r="J39" s="130" t="n"/>
      <c r="K39" s="130" t="n"/>
      <c r="L39" s="130" t="n"/>
    </row>
    <row r="40">
      <c r="A40" s="130" t="n"/>
      <c r="B40" s="130" t="n"/>
      <c r="C40" s="130" t="n"/>
      <c r="D40" s="130" t="n"/>
      <c r="E40" s="130" t="n"/>
      <c r="F40" s="130" t="n"/>
      <c r="G40" s="130" t="n"/>
      <c r="H40" s="130" t="n"/>
      <c r="I40" s="130" t="n"/>
      <c r="J40" s="130" t="n"/>
      <c r="K40" s="130" t="n"/>
      <c r="L40" s="130" t="n"/>
    </row>
  </sheetData>
  <mergeCells count="2">
    <mergeCell ref="A2:L2"/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55" customWidth="1" min="4" max="4"/>
  </cols>
  <sheetData>
    <row r="1" ht="26" customHeight="1">
      <c r="A1" s="11" t="inlineStr">
        <is>
          <t>QMA GenAI Benefit Back-of-Envelope Assumptions</t>
        </is>
      </c>
      <c r="B1" s="1" t="n"/>
      <c r="C1" s="1" t="n"/>
      <c r="D1" s="1" t="n"/>
      <c r="E1" s="130" t="n"/>
      <c r="F1" s="130" t="n"/>
      <c r="G1" s="130" t="n"/>
      <c r="H1" s="130" t="n"/>
      <c r="I1" s="130" t="n"/>
      <c r="J1" s="130" t="n"/>
      <c r="K1" s="130" t="n"/>
      <c r="L1" s="130" t="n"/>
    </row>
    <row r="2">
      <c r="A2" s="130" t="n"/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</row>
    <row r="3">
      <c r="A3" s="16" t="inlineStr">
        <is>
          <t>Input / Assumption</t>
        </is>
      </c>
      <c r="B3" s="16" t="inlineStr">
        <is>
          <t>Value</t>
        </is>
      </c>
      <c r="C3" s="16" t="inlineStr">
        <is>
          <t>Unit</t>
        </is>
      </c>
      <c r="D3" s="16" t="inlineStr">
        <is>
          <t>Purpose / Note</t>
        </is>
      </c>
      <c r="E3" s="130" t="n"/>
      <c r="F3" s="130" t="n"/>
      <c r="G3" s="130" t="n"/>
      <c r="H3" s="130" t="n"/>
      <c r="I3" s="130" t="n"/>
      <c r="J3" s="130" t="n"/>
      <c r="K3" s="130" t="n"/>
      <c r="L3" s="130" t="n"/>
    </row>
    <row r="4">
      <c r="A4" s="192" t="inlineStr">
        <is>
          <t>Base unique QMA/email volume</t>
        </is>
      </c>
      <c r="B4" s="213" t="n">
        <v>31000000</v>
      </c>
      <c r="C4" s="161" t="inlineStr">
        <is>
          <t>emails/events in 2025</t>
        </is>
      </c>
      <c r="D4" s="161" t="inlineStr">
        <is>
          <t>User-provided baseline. Treat as unique email/events, not every message touch.</t>
        </is>
      </c>
      <c r="E4" s="130" t="n"/>
      <c r="F4" s="130" t="n"/>
      <c r="G4" s="130" t="n"/>
      <c r="H4" s="130" t="n"/>
      <c r="I4" s="130" t="n"/>
      <c r="J4" s="130" t="n"/>
      <c r="K4" s="130" t="n"/>
      <c r="L4" s="130" t="n"/>
    </row>
    <row r="5">
      <c r="A5" s="192" t="inlineStr">
        <is>
          <t>Annual volume growth</t>
        </is>
      </c>
      <c r="B5" s="223" t="n">
        <v>0.08500000000000001</v>
      </c>
      <c r="C5" s="161" t="inlineStr">
        <is>
          <t>% YoY</t>
        </is>
      </c>
      <c r="D5" s="161" t="inlineStr">
        <is>
          <t>User-provided growth expectation. Used for 2026+ projection.</t>
        </is>
      </c>
      <c r="E5" s="130" t="n"/>
      <c r="F5" s="130" t="n"/>
      <c r="G5" s="130" t="n"/>
      <c r="H5" s="130" t="n"/>
      <c r="I5" s="130" t="n"/>
      <c r="J5" s="130" t="n"/>
      <c r="K5" s="130" t="n"/>
      <c r="L5" s="130" t="n"/>
    </row>
    <row r="6">
      <c r="A6" s="192" t="inlineStr">
        <is>
          <t>Projected unique QMA/email volume</t>
        </is>
      </c>
      <c r="B6" s="213">
        <f>B4*(1+B5)</f>
        <v/>
      </c>
      <c r="C6" s="161" t="inlineStr">
        <is>
          <t>emails/events in 2026</t>
        </is>
      </c>
      <c r="D6" s="161" t="inlineStr">
        <is>
          <t>Formula: 2025 volume × (1 + growth).</t>
        </is>
      </c>
      <c r="E6" s="130" t="n"/>
      <c r="F6" s="130" t="n"/>
      <c r="G6" s="130" t="n"/>
      <c r="H6" s="130" t="n"/>
      <c r="I6" s="130" t="n"/>
      <c r="J6" s="130" t="n"/>
      <c r="K6" s="130" t="n"/>
      <c r="L6" s="130" t="n"/>
    </row>
    <row r="7">
      <c r="A7" s="192" t="inlineStr">
        <is>
          <t>Effective productive hours per FTE</t>
        </is>
      </c>
      <c r="B7" s="213" t="n">
        <v>1800</v>
      </c>
      <c r="C7" s="161" t="inlineStr">
        <is>
          <t>hours/year</t>
        </is>
      </c>
      <c r="D7" s="161" t="inlineStr">
        <is>
          <t>BOE assumption; adjust to your finance standard if different.</t>
        </is>
      </c>
      <c r="E7" s="130" t="n"/>
      <c r="F7" s="130" t="n"/>
      <c r="G7" s="130" t="n"/>
      <c r="H7" s="130" t="n"/>
      <c r="I7" s="130" t="n"/>
      <c r="J7" s="130" t="n"/>
      <c r="K7" s="130" t="n"/>
      <c r="L7" s="130" t="n"/>
    </row>
    <row r="8">
      <c r="A8" s="192" t="inlineStr">
        <is>
          <t>Fully loaded Ops cost per FTE</t>
        </is>
      </c>
      <c r="B8" s="211" t="n">
        <v>225000</v>
      </c>
      <c r="C8" s="161" t="inlineStr">
        <is>
          <t>$/FTE/year</t>
        </is>
      </c>
      <c r="D8" s="161" t="inlineStr">
        <is>
          <t>BOE assumption; includes salary, benefits, occupancy, management overhead.</t>
        </is>
      </c>
      <c r="E8" s="130" t="n"/>
      <c r="F8" s="130" t="n"/>
      <c r="G8" s="130" t="n"/>
      <c r="H8" s="130" t="n"/>
      <c r="I8" s="130" t="n"/>
      <c r="J8" s="130" t="n"/>
      <c r="K8" s="130" t="n"/>
      <c r="L8" s="130" t="n"/>
    </row>
    <row r="9">
      <c r="A9" s="192" t="inlineStr">
        <is>
          <t>Target annual benefit</t>
        </is>
      </c>
      <c r="B9" s="211" t="n">
        <v>11000000</v>
      </c>
      <c r="C9" s="161" t="inlineStr">
        <is>
          <t>$ in 2026</t>
        </is>
      </c>
      <c r="D9" s="161" t="inlineStr">
        <is>
          <t>Updated annual realized projected benefit</t>
        </is>
      </c>
      <c r="E9" s="130" t="n"/>
      <c r="F9" s="130" t="n"/>
      <c r="G9" s="130" t="n"/>
      <c r="H9" s="130" t="n"/>
      <c r="I9" s="130" t="n"/>
      <c r="J9" s="130" t="n"/>
      <c r="K9" s="130" t="n"/>
      <c r="L9" s="130" t="n"/>
    </row>
    <row r="10">
      <c r="A10" s="192" t="inlineStr">
        <is>
          <t>Target FTE equivalent</t>
        </is>
      </c>
      <c r="B10" s="214">
        <f>B9/B8</f>
        <v/>
      </c>
      <c r="C10" s="161" t="inlineStr">
        <is>
          <t>FTEs</t>
        </is>
      </c>
      <c r="D10" s="161" t="inlineStr">
        <is>
          <t>Formula: target annual benefit ÷ loaded Ops cost/FTE.</t>
        </is>
      </c>
      <c r="E10" s="130" t="n"/>
      <c r="F10" s="130" t="n"/>
      <c r="G10" s="130" t="n"/>
      <c r="H10" s="130" t="n"/>
      <c r="I10" s="130" t="n"/>
      <c r="J10" s="130" t="n"/>
      <c r="K10" s="130" t="n"/>
      <c r="L10" s="130" t="n"/>
    </row>
    <row r="11">
      <c r="A11" s="192" t="inlineStr">
        <is>
          <t>Target hours saved</t>
        </is>
      </c>
      <c r="B11" s="213">
        <f>B10*B7</f>
        <v/>
      </c>
      <c r="C11" s="161" t="inlineStr">
        <is>
          <t>hours/year</t>
        </is>
      </c>
      <c r="D11" s="161" t="inlineStr">
        <is>
          <t>Formula: FTE equivalent × hours/FTE.</t>
        </is>
      </c>
      <c r="E11" s="130" t="n"/>
      <c r="F11" s="130" t="n"/>
      <c r="G11" s="130" t="n"/>
      <c r="H11" s="130" t="n"/>
      <c r="I11" s="130" t="n"/>
      <c r="J11" s="130" t="n"/>
      <c r="K11" s="130" t="n"/>
      <c r="L11" s="130" t="n"/>
    </row>
    <row r="12">
      <c r="A12" s="192" t="inlineStr">
        <is>
          <t>Average seconds saved needed across all 2026 emails</t>
        </is>
      </c>
      <c r="B12" s="214">
        <f>B11*3600/B6</f>
        <v/>
      </c>
      <c r="C12" s="161" t="inlineStr">
        <is>
          <t>seconds/email</t>
        </is>
      </c>
      <c r="D12" s="161" t="inlineStr">
        <is>
          <t>Small average efficiency across large volume can generate material benefit.</t>
        </is>
      </c>
      <c r="E12" s="130" t="n"/>
      <c r="F12" s="130" t="n"/>
      <c r="G12" s="130" t="n"/>
      <c r="H12" s="130" t="n"/>
      <c r="I12" s="130" t="n"/>
      <c r="J12" s="130" t="n"/>
      <c r="K12" s="130" t="n"/>
      <c r="L12" s="130" t="n"/>
    </row>
    <row r="13">
      <c r="A13" s="192" t="inlineStr">
        <is>
          <t>Stated 3-year target</t>
        </is>
      </c>
      <c r="B13" s="211" t="n">
        <v>11000000</v>
      </c>
      <c r="C13" s="161" t="inlineStr">
        <is>
          <t>$ over 3 years</t>
        </is>
      </c>
      <c r="D13" s="161" t="inlineStr">
        <is>
          <t>User-provided headline target.</t>
        </is>
      </c>
      <c r="E13" s="130" t="n"/>
      <c r="F13" s="130" t="n"/>
      <c r="G13" s="130" t="n"/>
      <c r="H13" s="130" t="n"/>
      <c r="I13" s="130" t="n"/>
      <c r="J13" s="130" t="n"/>
      <c r="K13" s="130" t="n"/>
      <c r="L13" s="130" t="n"/>
    </row>
    <row r="14">
      <c r="A14" s="192" t="inlineStr">
        <is>
          <t>Flat 3-year value at 2026 target</t>
        </is>
      </c>
      <c r="B14" s="211">
        <f>B9*3</f>
        <v/>
      </c>
      <c r="C14" s="161" t="inlineStr">
        <is>
          <t>$ over 3 years</t>
        </is>
      </c>
      <c r="D14" s="161" t="inlineStr">
        <is>
          <t>$3.4M × 3 = $10.2M; useful conservative view.</t>
        </is>
      </c>
      <c r="E14" s="130" t="n"/>
      <c r="F14" s="130" t="n"/>
      <c r="G14" s="130" t="n"/>
      <c r="H14" s="130" t="n"/>
      <c r="I14" s="130" t="n"/>
      <c r="J14" s="130" t="n"/>
      <c r="K14" s="130" t="n"/>
      <c r="L14" s="130" t="n"/>
    </row>
    <row r="15">
      <c r="A15" s="192" t="inlineStr">
        <is>
          <t>Growth-adjusted 3-year value</t>
        </is>
      </c>
      <c r="B15" s="211">
        <f>B9*(1+(1+B5)+(1+B5)^2)</f>
        <v/>
      </c>
      <c r="C15" s="161" t="inlineStr">
        <is>
          <t>$ over 3 years</t>
        </is>
      </c>
      <c r="D15" s="161" t="inlineStr">
        <is>
          <t>Applies 8.5% YoY growth to annual benefit.</t>
        </is>
      </c>
      <c r="E15" s="130" t="n"/>
      <c r="F15" s="130" t="n"/>
      <c r="G15" s="130" t="n"/>
      <c r="H15" s="130" t="n"/>
      <c r="I15" s="130" t="n"/>
      <c r="J15" s="130" t="n"/>
      <c r="K15" s="130" t="n"/>
      <c r="L15" s="130" t="n"/>
    </row>
    <row r="16">
      <c r="A16" s="192" t="inlineStr">
        <is>
          <t>Variance to stated 3-year target</t>
        </is>
      </c>
      <c r="B16" s="211">
        <f>B15-B13</f>
        <v/>
      </c>
      <c r="C16" s="161" t="inlineStr">
        <is>
          <t>$</t>
        </is>
      </c>
      <c r="D16" s="161" t="inlineStr">
        <is>
          <t>Positive means growth-adjusted case exceeds stated target.</t>
        </is>
      </c>
      <c r="E16" s="130" t="n"/>
      <c r="F16" s="130" t="n"/>
      <c r="G16" s="130" t="n"/>
      <c r="H16" s="130" t="n"/>
      <c r="I16" s="130" t="n"/>
      <c r="J16" s="130" t="n"/>
      <c r="K16" s="130" t="n"/>
      <c r="L16" s="130" t="n"/>
    </row>
    <row r="17">
      <c r="A17" s="130" t="n"/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30" t="n"/>
      <c r="K17" s="130" t="n"/>
      <c r="L17" s="130" t="n"/>
    </row>
    <row r="18" ht="32" customHeight="1">
      <c r="A18" s="224" t="inlineStr">
        <is>
          <t>Source notes: Updated business case - Project budget $600K; realized/projected annual benefit $11M.</t>
        </is>
      </c>
      <c r="B18" s="1" t="n"/>
      <c r="C18" s="1" t="n"/>
      <c r="D18" s="1" t="n"/>
      <c r="E18" s="130" t="n"/>
      <c r="F18" s="130" t="n"/>
      <c r="G18" s="130" t="n"/>
      <c r="H18" s="130" t="n"/>
      <c r="I18" s="130" t="n"/>
      <c r="J18" s="130" t="n"/>
      <c r="K18" s="130" t="n"/>
      <c r="L18" s="130" t="n"/>
    </row>
    <row r="19">
      <c r="A19" s="130" t="n"/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30" t="n"/>
      <c r="L19" s="130" t="n"/>
    </row>
    <row r="20">
      <c r="A20" s="130" t="n"/>
      <c r="B20" s="130" t="n"/>
      <c r="C20" s="130" t="n"/>
      <c r="D20" s="130" t="n"/>
      <c r="E20" s="130" t="n"/>
      <c r="F20" s="130" t="n"/>
      <c r="G20" s="130" t="n"/>
      <c r="H20" s="130" t="n"/>
      <c r="I20" s="130" t="n"/>
      <c r="J20" s="130" t="n"/>
      <c r="K20" s="130" t="n"/>
      <c r="L20" s="130" t="n"/>
    </row>
    <row r="21">
      <c r="A21" s="130" t="n"/>
      <c r="B21" s="130" t="n"/>
      <c r="C21" s="130" t="n"/>
      <c r="D21" s="130" t="n"/>
      <c r="E21" s="130" t="n"/>
      <c r="F21" s="130" t="n"/>
      <c r="G21" s="130" t="n"/>
      <c r="H21" s="130" t="n"/>
      <c r="I21" s="130" t="n"/>
      <c r="J21" s="130" t="n"/>
      <c r="K21" s="130" t="n"/>
      <c r="L21" s="130" t="n"/>
    </row>
    <row r="22">
      <c r="A22" s="130" t="n"/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  <c r="L22" s="130" t="n"/>
    </row>
    <row r="23">
      <c r="A23" s="130" t="n"/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</row>
    <row r="24">
      <c r="A24" s="130" t="n"/>
      <c r="B24" s="130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</row>
    <row r="25">
      <c r="A25" s="130" t="n"/>
      <c r="B25" s="130" t="n"/>
      <c r="C25" s="130" t="n"/>
      <c r="D25" s="130" t="n"/>
      <c r="E25" s="130" t="n"/>
      <c r="F25" s="130" t="n"/>
      <c r="G25" s="130" t="n"/>
      <c r="H25" s="130" t="n"/>
      <c r="I25" s="130" t="n"/>
      <c r="J25" s="130" t="n"/>
      <c r="K25" s="130" t="n"/>
      <c r="L25" s="130" t="n"/>
    </row>
    <row r="26">
      <c r="A26" s="130" t="n"/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  <c r="L26" s="130" t="n"/>
    </row>
    <row r="27">
      <c r="A27" s="130" t="n"/>
      <c r="B27" s="130" t="n"/>
      <c r="C27" s="130" t="n"/>
      <c r="D27" s="130" t="n"/>
      <c r="E27" s="130" t="n"/>
      <c r="F27" s="130" t="n"/>
      <c r="G27" s="130" t="n"/>
      <c r="H27" s="130" t="n"/>
      <c r="I27" s="130" t="n"/>
      <c r="J27" s="130" t="n"/>
      <c r="K27" s="130" t="n"/>
      <c r="L27" s="130" t="n"/>
    </row>
    <row r="28">
      <c r="A28" s="130" t="n"/>
      <c r="B28" s="130" t="n"/>
      <c r="C28" s="130" t="n"/>
      <c r="D28" s="130" t="n"/>
      <c r="E28" s="130" t="n"/>
      <c r="F28" s="130" t="n"/>
      <c r="G28" s="130" t="n"/>
      <c r="H28" s="130" t="n"/>
      <c r="I28" s="130" t="n"/>
      <c r="J28" s="130" t="n"/>
      <c r="K28" s="130" t="n"/>
      <c r="L28" s="130" t="n"/>
    </row>
    <row r="29">
      <c r="A29" s="130" t="n"/>
      <c r="B29" s="130" t="n"/>
      <c r="C29" s="130" t="n"/>
      <c r="D29" s="130" t="n"/>
      <c r="E29" s="130" t="n"/>
      <c r="F29" s="130" t="n"/>
      <c r="G29" s="130" t="n"/>
      <c r="H29" s="130" t="n"/>
      <c r="I29" s="130" t="n"/>
      <c r="J29" s="130" t="n"/>
      <c r="K29" s="130" t="n"/>
      <c r="L29" s="130" t="n"/>
    </row>
    <row r="30">
      <c r="A30" s="130" t="n"/>
      <c r="B30" s="130" t="n"/>
      <c r="C30" s="130" t="n"/>
      <c r="D30" s="130" t="n"/>
      <c r="E30" s="130" t="n"/>
      <c r="F30" s="130" t="n"/>
      <c r="G30" s="130" t="n"/>
      <c r="H30" s="130" t="n"/>
      <c r="I30" s="130" t="n"/>
      <c r="J30" s="130" t="n"/>
      <c r="K30" s="130" t="n"/>
      <c r="L30" s="130" t="n"/>
    </row>
    <row r="31">
      <c r="A31" s="130" t="n"/>
      <c r="B31" s="130" t="n"/>
      <c r="C31" s="130" t="n"/>
      <c r="D31" s="130" t="n"/>
      <c r="E31" s="130" t="n"/>
      <c r="F31" s="130" t="n"/>
      <c r="G31" s="130" t="n"/>
      <c r="H31" s="130" t="n"/>
      <c r="I31" s="130" t="n"/>
      <c r="J31" s="130" t="n"/>
      <c r="K31" s="130" t="n"/>
      <c r="L31" s="130" t="n"/>
    </row>
    <row r="32">
      <c r="A32" s="130" t="n"/>
      <c r="B32" s="130" t="n"/>
      <c r="C32" s="130" t="n"/>
      <c r="D32" s="130" t="n"/>
      <c r="E32" s="130" t="n"/>
      <c r="F32" s="130" t="n"/>
      <c r="G32" s="130" t="n"/>
      <c r="H32" s="130" t="n"/>
      <c r="I32" s="130" t="n"/>
      <c r="J32" s="130" t="n"/>
      <c r="K32" s="130" t="n"/>
      <c r="L32" s="130" t="n"/>
    </row>
    <row r="33">
      <c r="A33" s="130" t="n"/>
      <c r="B33" s="130" t="n"/>
      <c r="C33" s="130" t="n"/>
      <c r="D33" s="130" t="n"/>
      <c r="E33" s="130" t="n"/>
      <c r="F33" s="130" t="n"/>
      <c r="G33" s="130" t="n"/>
      <c r="H33" s="130" t="n"/>
      <c r="I33" s="130" t="n"/>
      <c r="J33" s="130" t="n"/>
      <c r="K33" s="130" t="n"/>
      <c r="L33" s="130" t="n"/>
    </row>
    <row r="34">
      <c r="A34" s="130" t="n"/>
      <c r="B34" s="130" t="n"/>
      <c r="C34" s="130" t="n"/>
      <c r="D34" s="130" t="n"/>
      <c r="E34" s="130" t="n"/>
      <c r="F34" s="130" t="n"/>
      <c r="G34" s="130" t="n"/>
      <c r="H34" s="130" t="n"/>
      <c r="I34" s="130" t="n"/>
      <c r="J34" s="130" t="n"/>
      <c r="K34" s="130" t="n"/>
      <c r="L34" s="130" t="n"/>
    </row>
    <row r="35">
      <c r="A35" s="130" t="n"/>
      <c r="B35" s="130" t="n"/>
      <c r="C35" s="130" t="n"/>
      <c r="D35" s="130" t="n"/>
      <c r="E35" s="130" t="n"/>
      <c r="F35" s="130" t="n"/>
      <c r="G35" s="130" t="n"/>
      <c r="H35" s="130" t="n"/>
      <c r="I35" s="130" t="n"/>
      <c r="J35" s="130" t="n"/>
      <c r="K35" s="130" t="n"/>
      <c r="L35" s="130" t="n"/>
    </row>
    <row r="36">
      <c r="A36" s="130" t="n"/>
      <c r="B36" s="130" t="n"/>
      <c r="C36" s="130" t="n"/>
      <c r="D36" s="130" t="n"/>
      <c r="E36" s="130" t="n"/>
      <c r="F36" s="130" t="n"/>
      <c r="G36" s="130" t="n"/>
      <c r="H36" s="130" t="n"/>
      <c r="I36" s="130" t="n"/>
      <c r="J36" s="130" t="n"/>
      <c r="K36" s="130" t="n"/>
      <c r="L36" s="130" t="n"/>
    </row>
    <row r="37">
      <c r="A37" s="130" t="n"/>
      <c r="B37" s="130" t="n"/>
      <c r="C37" s="130" t="n"/>
      <c r="D37" s="130" t="n"/>
      <c r="E37" s="130" t="n"/>
      <c r="F37" s="130" t="n"/>
      <c r="G37" s="130" t="n"/>
      <c r="H37" s="130" t="n"/>
      <c r="I37" s="130" t="n"/>
      <c r="J37" s="130" t="n"/>
      <c r="K37" s="130" t="n"/>
      <c r="L37" s="130" t="n"/>
    </row>
    <row r="38">
      <c r="A38" s="130" t="n"/>
      <c r="B38" s="130" t="n"/>
      <c r="C38" s="130" t="n"/>
      <c r="D38" s="130" t="n"/>
      <c r="E38" s="130" t="n"/>
      <c r="F38" s="130" t="n"/>
      <c r="G38" s="130" t="n"/>
      <c r="H38" s="130" t="n"/>
      <c r="I38" s="130" t="n"/>
      <c r="J38" s="130" t="n"/>
      <c r="K38" s="130" t="n"/>
      <c r="L38" s="130" t="n"/>
    </row>
    <row r="39">
      <c r="A39" s="130" t="n"/>
      <c r="B39" s="130" t="n"/>
      <c r="C39" s="130" t="n"/>
      <c r="D39" s="130" t="n"/>
      <c r="E39" s="130" t="n"/>
      <c r="F39" s="130" t="n"/>
      <c r="G39" s="130" t="n"/>
      <c r="H39" s="130" t="n"/>
      <c r="I39" s="130" t="n"/>
      <c r="J39" s="130" t="n"/>
      <c r="K39" s="130" t="n"/>
      <c r="L39" s="130" t="n"/>
    </row>
    <row r="40">
      <c r="A40" s="130" t="n"/>
      <c r="B40" s="130" t="n"/>
      <c r="C40" s="130" t="n"/>
      <c r="D40" s="130" t="n"/>
      <c r="E40" s="130" t="n"/>
      <c r="F40" s="130" t="n"/>
      <c r="G40" s="130" t="n"/>
      <c r="H40" s="130" t="n"/>
      <c r="I40" s="130" t="n"/>
      <c r="J40" s="130" t="n"/>
      <c r="K40" s="130" t="n"/>
      <c r="L40" s="130" t="n"/>
    </row>
  </sheetData>
  <mergeCells count="2">
    <mergeCell ref="A1:D1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2026-07-08T12:17:40Z</dcterms:created>
  <dcterms:modified xmlns:dcterms="http://purl.org/dc/terms/" xmlns:xsi="http://www.w3.org/2001/XMLSchema-instance" xsi:type="dcterms:W3CDTF">2026-07-08T12:17:40Z</dcterms:modified>
</cp:coreProperties>
</file>