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rishnakumar/Downloads/"/>
    </mc:Choice>
  </mc:AlternateContent>
  <xr:revisionPtr revIDLastSave="0" documentId="8_{BE902AA9-BADE-544A-AA5F-0CF7FEA22DD1}" xr6:coauthVersionLast="47" xr6:coauthVersionMax="47" xr10:uidLastSave="{00000000-0000-0000-0000-000000000000}"/>
  <bookViews>
    <workbookView xWindow="0" yWindow="660" windowWidth="30240" windowHeight="17860" activeTab="3" xr2:uid="{00000000-000D-0000-FFFF-FFFF00000000}"/>
  </bookViews>
  <sheets>
    <sheet name="Summary" sheetId="1" r:id="rId1"/>
    <sheet name="Epics" sheetId="2" r:id="rId2"/>
    <sheet name="Stories" sheetId="3" r:id="rId3"/>
    <sheet name="List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F7" i="1"/>
  <c r="E7" i="1"/>
  <c r="F6" i="1"/>
  <c r="E6" i="1"/>
  <c r="B6" i="1"/>
  <c r="F5" i="1"/>
  <c r="E5" i="1"/>
  <c r="B5" i="1"/>
  <c r="F4" i="1"/>
  <c r="E4" i="1"/>
  <c r="B4" i="1"/>
</calcChain>
</file>

<file path=xl/sharedStrings.xml><?xml version="1.0" encoding="utf-8"?>
<sst xmlns="http://schemas.openxmlformats.org/spreadsheetml/2006/main" count="349" uniqueCount="171">
  <si>
    <t>Agentic Workflow Platform Backlog Summary</t>
  </si>
  <si>
    <t>Metric</t>
  </si>
  <si>
    <t>Value</t>
  </si>
  <si>
    <t>Epic Name</t>
  </si>
  <si>
    <t>Story Count</t>
  </si>
  <si>
    <t>Completed</t>
  </si>
  <si>
    <t>Total Epics</t>
  </si>
  <si>
    <t>DS</t>
  </si>
  <si>
    <t>Total Stories/Spikes</t>
  </si>
  <si>
    <t>Backend</t>
  </si>
  <si>
    <t>High Priority Stories</t>
  </si>
  <si>
    <t>UI</t>
  </si>
  <si>
    <t>Product</t>
  </si>
  <si>
    <t>Notes</t>
  </si>
  <si>
    <t>This workbook is a draft backlog structure for PM review. Stories can be resized, re-estimated, or split further during grooming.</t>
  </si>
  <si>
    <t>DS Exploration</t>
  </si>
  <si>
    <t>Suggested Next Step</t>
  </si>
  <si>
    <t>Review sequencing across DS foundation, Backend integrations, and UI authoring before sprint planning.</t>
  </si>
  <si>
    <t>Products Referenced</t>
  </si>
  <si>
    <t>EDGE Assist; EDGE Workbench</t>
  </si>
  <si>
    <t>Standardization</t>
  </si>
  <si>
    <t>Story title standardized to EDGE Assist where source input said EDGE Assiste.</t>
  </si>
  <si>
    <t>Agentic Workflow Platform - Draft Epics</t>
  </si>
  <si>
    <t>Epic ID</t>
  </si>
  <si>
    <t>Epic Description</t>
  </si>
  <si>
    <t>Business Outcome</t>
  </si>
  <si>
    <t>Suggested Owner</t>
  </si>
  <si>
    <t>Priority</t>
  </si>
  <si>
    <t>Status</t>
  </si>
  <si>
    <t>EPIC-DS</t>
  </si>
  <si>
    <t>Build the core data science foundation for the agentic workflow platform, including ADK-based framework, ARC-configured runtime, YAML-driven configuration, evaluation hooks, and end-to-end workflows.</t>
  </si>
  <si>
    <t>Enable a reusable, configurable agent platform for EDGE use cases.</t>
  </si>
  <si>
    <t>DS Lead</t>
  </si>
  <si>
    <t>High</t>
  </si>
  <si>
    <t>Draft</t>
  </si>
  <si>
    <t>EPIC-BE</t>
  </si>
  <si>
    <t>Build the backend services and enterprise integrations required to power the platform, including MCP server, system connectors, and execution/configuration APIs.</t>
  </si>
  <si>
    <t>Provide reliable platform connectivity and execution services.</t>
  </si>
  <si>
    <t>Backend Lead</t>
  </si>
  <si>
    <t>EPIC-UI</t>
  </si>
  <si>
    <t>Create the user interface for dynamic YAML-driven configuration, validation, and workflow operation.</t>
  </si>
  <si>
    <t>Allow users to author and manage platform configuration through a usable interface.</t>
  </si>
  <si>
    <t>UI Lead</t>
  </si>
  <si>
    <t>Medium</t>
  </si>
  <si>
    <t>EPIC-PROD</t>
  </si>
  <si>
    <t>Drive product planning, scoping, prioritization, stakeholder alignment, and release planning for the platform.</t>
  </si>
  <si>
    <t>Ensure the initiative is well-scoped, measurable, and aligned with business needs.</t>
  </si>
  <si>
    <t>Product Manager</t>
  </si>
  <si>
    <t>EPIC-DSEXP</t>
  </si>
  <si>
    <t>Run spikes and exploratory tasks to de-risk architecture, runtime patterns, evaluation design, and enterprise integration approach.</t>
  </si>
  <si>
    <t>Reduce implementation risk before full-scale build-out.</t>
  </si>
  <si>
    <t>DS Architect</t>
  </si>
  <si>
    <t>Agentic Workflow Platform - Draft Stories and Spikes</t>
  </si>
  <si>
    <t>Story ID</t>
  </si>
  <si>
    <t>Story Title</t>
  </si>
  <si>
    <t>Story Type</t>
  </si>
  <si>
    <t>Description</t>
  </si>
  <si>
    <t>Acceptance Criteria</t>
  </si>
  <si>
    <t>Dependencies</t>
  </si>
  <si>
    <t>DS-001</t>
  </si>
  <si>
    <t>Create base ADK framework with genai-common</t>
  </si>
  <si>
    <t>Story</t>
  </si>
  <si>
    <t>Establish the foundational Google ADK-based project structure integrated with genai-common so new agents and workflows can be built consistently.</t>
  </si>
  <si>
    <t>Project skeleton, dependency structure, coding conventions, and reusable base components are available and reviewed.</t>
  </si>
  <si>
    <t>Not Started</t>
  </si>
  <si>
    <t>Core foundation story</t>
  </si>
  <si>
    <t>DS-002</t>
  </si>
  <si>
    <t>Create agent runtime configured with ARC</t>
  </si>
  <si>
    <t>Implement the agent runtime with ARC-based configuration so workflows can execute with consistent runtime controls and extensibility.</t>
  </si>
  <si>
    <t>Runtime supports ARC configuration, environment setup, execution lifecycle, and basic observability hooks.</t>
  </si>
  <si>
    <t>DS-003</t>
  </si>
  <si>
    <t>Create YAML schema for templates, tools, workflows, prompts, and policy configs</t>
  </si>
  <si>
    <t>Define the configuration model for the platform using YAML-driven artifacts covering templates, tools, workflows, prompts, and policies.</t>
  </si>
  <si>
    <t>Schema definitions are documented, versionable, and validated against representative examples.</t>
  </si>
  <si>
    <t>DS Team</t>
  </si>
  <si>
    <t>DS-004</t>
  </si>
  <si>
    <t>Build config compiler and validator</t>
  </si>
  <si>
    <t>Create a compiler/validator that converts YAML configuration into runtime-ready platform objects and surfaces validation errors clearly.</t>
  </si>
  <si>
    <t>Compiler can parse sample configs, fail fast on invalid definitions, and generate runtime-ready outputs.</t>
  </si>
  <si>
    <t>DS-005</t>
  </si>
  <si>
    <t>Create evaluation hook</t>
  </si>
  <si>
    <t>Introduce evaluation hooks so agent runs can emit quality, trace, and feedback signals for future measurement and iteration.</t>
  </si>
  <si>
    <t>Evaluation interface is implemented, sample metrics are captured, and hook points exist in runtime execution.</t>
  </si>
  <si>
    <t>DS-002; DS-004</t>
  </si>
  <si>
    <t>DS-006</t>
  </si>
  <si>
    <t>Implement end-to-end agentic workflow for EDGE Assist</t>
  </si>
  <si>
    <t>Build the first end-to-end platform use case for EDGE Assist using the common framework, runtime, configs, and evaluation hooks.</t>
  </si>
  <si>
    <t>Workflow runs successfully from config to execution with representative inputs and documented outputs.</t>
  </si>
  <si>
    <t>DS-002; DS-004; DS-005; BE-001</t>
  </si>
  <si>
    <t>Standardized from 'EDGE Assiste'</t>
  </si>
  <si>
    <t>DS-007</t>
  </si>
  <si>
    <t>Implement end-to-end agentic workflow for EDGE Workbench</t>
  </si>
  <si>
    <t>Build the second end-to-end platform use case for EDGE Workbench to validate reuse across multiple products/workflows.</t>
  </si>
  <si>
    <t>Workflow runs successfully and demonstrates reuse of platform components with minimal product-specific customization.</t>
  </si>
  <si>
    <t>BE-001</t>
  </si>
  <si>
    <t>Create MCP server and base connection framework</t>
  </si>
  <si>
    <t>Build the core MCP server and common connection framework to support system integrations and tool exposure.</t>
  </si>
  <si>
    <t>MCP server is available, connection lifecycle is defined, and sample connection path is tested.</t>
  </si>
  <si>
    <t>BE-002</t>
  </si>
  <si>
    <t>Integrate R2D2 via MCP</t>
  </si>
  <si>
    <t>Implement the R2D2 connector and expose required capabilities through the MCP server.</t>
  </si>
  <si>
    <t>R2D2 integration works in lower environment and core actions are callable from the platform.</t>
  </si>
  <si>
    <t>Backend Team</t>
  </si>
  <si>
    <t>BE-003</t>
  </si>
  <si>
    <t>Integrate Coin via MCP</t>
  </si>
  <si>
    <t>Implement the Coin connector and expose required capabilities through the MCP server.</t>
  </si>
  <si>
    <t>Coin integration works in lower environment and core actions are callable from the platform.</t>
  </si>
  <si>
    <t>BE-004</t>
  </si>
  <si>
    <t>Integrate Maas via MCP</t>
  </si>
  <si>
    <t>Implement the Maas connector and expose required capabilities through the MCP server.</t>
  </si>
  <si>
    <t>Maas integration works in lower environment and core actions are callable from the platform.</t>
  </si>
  <si>
    <t>BE-005</t>
  </si>
  <si>
    <t>Create backend APIs for config management and workflow execution</t>
  </si>
  <si>
    <t>Expose service APIs for configuration CRUD, compilation requests, and workflow execution/monitoring support.</t>
  </si>
  <si>
    <t>APIs are documented, secured at baseline, and callable by UI and runtime components.</t>
  </si>
  <si>
    <t>BE-001; DS-004</t>
  </si>
  <si>
    <t>UI-001</t>
  </si>
  <si>
    <t>Build dynamic YAML config management UI</t>
  </si>
  <si>
    <t>Create a UI that allows users to create, edit, and manage YAML-based platform configurations dynamically.</t>
  </si>
  <si>
    <t>Users can create and update core configuration artifacts through the UI and save them successfully.</t>
  </si>
  <si>
    <t>BE-005; DS-003</t>
  </si>
  <si>
    <t>UI-002</t>
  </si>
  <si>
    <t>Add config validation and preview experience</t>
  </si>
  <si>
    <t>Provide inline validation, compilation feedback, and preview support so users can confidently work with configurations.</t>
  </si>
  <si>
    <t>Validation errors are surfaced clearly and users can preview compiled outputs or config summaries.</t>
  </si>
  <si>
    <t>UI Team</t>
  </si>
  <si>
    <t>UI-001; DS-004</t>
  </si>
  <si>
    <t>UI-003</t>
  </si>
  <si>
    <t>Add workflow run and monitoring view</t>
  </si>
  <si>
    <t>Provide a user experience to launch supported workflows and review run status, outputs, and evaluation signals.</t>
  </si>
  <si>
    <t>Users can trigger workflows, view run progress, and inspect basic run results from the UI.</t>
  </si>
  <si>
    <t>UI-001; BE-005; DS-005</t>
  </si>
  <si>
    <t>PROD-001</t>
  </si>
  <si>
    <t>Define platform vision, scope, and personas</t>
  </si>
  <si>
    <t>Document the platform problem statement, target personas, value proposition, and business scope.</t>
  </si>
  <si>
    <t>Vision document and stakeholder-aligned scope statement are completed and reviewed.</t>
  </si>
  <si>
    <t>PROD-002</t>
  </si>
  <si>
    <t>Define MVP use cases and prioritization</t>
  </si>
  <si>
    <t>Identify and prioritize MVP workflows/features, including EDGE Assist and EDGE Workbench, based on business value and feasibility.</t>
  </si>
  <si>
    <t>Prioritized MVP scope is agreed and linked to backlog sequencing.</t>
  </si>
  <si>
    <t>PROD-003</t>
  </si>
  <si>
    <t>Define success metrics, milestones, and NFRs</t>
  </si>
  <si>
    <t>Establish measurable success criteria, release milestones, and key non-functional requirements for the platform.</t>
  </si>
  <si>
    <t>Success metrics, target milestones, and NFRs are documented and reviewed with engineering and DS leads.</t>
  </si>
  <si>
    <t>PROD-004</t>
  </si>
  <si>
    <t>Conduct stakeholder review and backlog sign-off</t>
  </si>
  <si>
    <t>Review the epic/story structure with key stakeholders and finalize backlog for implementation planning.</t>
  </si>
  <si>
    <t>Backlog is reviewed, updated, and approved for execution planning.</t>
  </si>
  <si>
    <t>PROD-002; PROD-003</t>
  </si>
  <si>
    <t>DSEXP-001</t>
  </si>
  <si>
    <t>Spike ADK plus genai-common platform fit</t>
  </si>
  <si>
    <t>Spike</t>
  </si>
  <si>
    <t>Evaluate how well Google ADK and genai-common support the target platform architecture and reusable development model.</t>
  </si>
  <si>
    <t>Spike output includes recommendation, trade-offs, and proposed implementation approach.</t>
  </si>
  <si>
    <t>DSEXP-002</t>
  </si>
  <si>
    <t>Spike ARC runtime patterns and state model</t>
  </si>
  <si>
    <t>Evaluate runtime patterns, state handling, and execution lifecycle options for ARC-based orchestration.</t>
  </si>
  <si>
    <t>Spike output documents recommended runtime/state design and identified risks.</t>
  </si>
  <si>
    <t>DSEXP-003</t>
  </si>
  <si>
    <t>Spike evaluation framework and quality metrics</t>
  </si>
  <si>
    <t>Explore evaluation options, run-level hooks, trace capture, and quality metrics for agent workflows.</t>
  </si>
  <si>
    <t>Spike output recommends evaluation design, core metrics, and integration path.</t>
  </si>
  <si>
    <t>DSEXP-004</t>
  </si>
  <si>
    <t>Spike MCP integration pattern for enterprise systems</t>
  </si>
  <si>
    <t>Evaluate the best pattern to expose and consume enterprise tools through MCP for systems such as R2D2, Coin, and Maas.</t>
  </si>
  <si>
    <t>Spike output includes connector pattern recommendation and integration constraints.</t>
  </si>
  <si>
    <t>Field</t>
  </si>
  <si>
    <t>Epic Names</t>
  </si>
  <si>
    <t>Low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</si>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</sst>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F1F1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Stories by Epic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Story Count</c:v>
          </c:tx>
          <c:invertIfNegative val="1"/>
          <c:cat>
            <c:strRef>
              <c:f>Summary!$D$4:$D$8</c:f>
              <c:strCache>
                <c:ptCount val="5"/>
                <c:pt idx="0">
                  <c:v>DS</c:v>
                </c:pt>
                <c:pt idx="1">
                  <c:v>Backend</c:v>
                </c:pt>
                <c:pt idx="2">
                  <c:v>UI</c:v>
                </c:pt>
                <c:pt idx="3">
                  <c:v>Product</c:v>
                </c:pt>
                <c:pt idx="4">
                  <c:v>DS Exploration</c:v>
                </c:pt>
              </c:strCache>
            </c:strRef>
          </c:cat>
          <c:val>
            <c:numRef>
              <c:f>Summary!$E$4:$E$8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6-5A44-A31A-D5ED1F28A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csTable" displayName="EpicsTable" ref="A3:G8">
  <tableColumns count="7">
    <tableColumn id="1" xr3:uid="{00000000-0010-0000-0000-000001000000}" name="Epic ID"/>
    <tableColumn id="2" xr3:uid="{00000000-0010-0000-0000-000002000000}" name="Epic Name"/>
    <tableColumn id="3" xr3:uid="{00000000-0010-0000-0000-000003000000}" name="Epic Description"/>
    <tableColumn id="4" xr3:uid="{00000000-0010-0000-0000-000004000000}" name="Business Outcome"/>
    <tableColumn id="5" xr3:uid="{00000000-0010-0000-0000-000005000000}" name="Suggested Owner"/>
    <tableColumn id="6" xr3:uid="{00000000-0010-0000-0000-000006000000}" name="Priority"/>
    <tableColumn id="7" xr3:uid="{00000000-0010-0000-00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46" customWidth="1"/>
    <col min="4" max="6" width="16" customWidth="1"/>
    <col min="8" max="14" width="12" customWidth="1"/>
  </cols>
  <sheetData>
    <row r="1" spans="1:26" ht="18">
      <c r="A1" s="4" t="s">
        <v>0</v>
      </c>
      <c r="B1" s="4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>
      <c r="A3" s="2" t="s">
        <v>1</v>
      </c>
      <c r="B3" s="2" t="s">
        <v>2</v>
      </c>
      <c r="C3" s="1"/>
      <c r="D3" s="2" t="s">
        <v>3</v>
      </c>
      <c r="E3" s="2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3" t="s">
        <v>6</v>
      </c>
      <c r="B4" s="3">
        <f>COUNTA(Epics!A4:A8)</f>
        <v>5</v>
      </c>
      <c r="C4" s="1"/>
      <c r="D4" s="3" t="s">
        <v>7</v>
      </c>
      <c r="E4" s="3">
        <f>COUNTIF(Stories!C4:C26,"DS")</f>
        <v>7</v>
      </c>
      <c r="F4" s="3">
        <f>COUNTIFS(Stories!C4:C26,"DS",Stories!I4:I26,"Done")</f>
        <v>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3" t="s">
        <v>8</v>
      </c>
      <c r="B5" s="3">
        <f>COUNTA(Stories!A4:A26)</f>
        <v>23</v>
      </c>
      <c r="C5" s="1"/>
      <c r="D5" s="3" t="s">
        <v>9</v>
      </c>
      <c r="E5" s="3">
        <f>COUNTIF(Stories!C4:C26,"Backend")</f>
        <v>5</v>
      </c>
      <c r="F5" s="3">
        <f>COUNTIFS(Stories!C4:C26,"Backend",Stories!I4:I26,"Done")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3" t="s">
        <v>10</v>
      </c>
      <c r="B6" s="3">
        <f>COUNTIF(Stories!H4:H26,"High")</f>
        <v>17</v>
      </c>
      <c r="C6" s="1"/>
      <c r="D6" s="3" t="s">
        <v>11</v>
      </c>
      <c r="E6" s="3">
        <f>COUNTIF(Stories!C4:C26,"UI")</f>
        <v>3</v>
      </c>
      <c r="F6" s="3">
        <f>COUNTIFS(Stories!C4:C26,"UI",Stories!I4:I26,"Done")</f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"/>
      <c r="B7" s="1"/>
      <c r="C7" s="1"/>
      <c r="D7" s="3" t="s">
        <v>12</v>
      </c>
      <c r="E7" s="3">
        <f>COUNTIF(Stories!C4:C26,"Product")</f>
        <v>4</v>
      </c>
      <c r="F7" s="3">
        <f>COUNTIFS(Stories!C4:C26,"Product",Stories!I4:I26,"Done")</f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>
      <c r="A8" s="2" t="s">
        <v>13</v>
      </c>
      <c r="B8" s="3" t="s">
        <v>14</v>
      </c>
      <c r="C8" s="1"/>
      <c r="D8" s="3" t="s">
        <v>15</v>
      </c>
      <c r="E8" s="3">
        <f>COUNTIF(Stories!C4:C26,"DS Exploration")</f>
        <v>4</v>
      </c>
      <c r="F8" s="3">
        <f>COUNTIFS(Stories!C4:C26,"DS Exploration",Stories!I4:I26,"Done")</f>
        <v>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2" t="s">
        <v>16</v>
      </c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>
      <c r="A10" s="2" t="s">
        <v>18</v>
      </c>
      <c r="B10" s="3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>
      <c r="A11" s="2" t="s">
        <v>20</v>
      </c>
      <c r="B11" s="3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workbookViewId="0">
      <selection sqref="A1:G1"/>
    </sheetView>
  </sheetViews>
  <sheetFormatPr baseColWidth="10" defaultColWidth="8.83203125" defaultRowHeight="14"/>
  <cols>
    <col min="1" max="1" width="12" customWidth="1"/>
    <col min="2" max="2" width="16" customWidth="1"/>
    <col min="3" max="3" width="38" customWidth="1"/>
    <col min="4" max="4" width="32" customWidth="1"/>
    <col min="5" max="5" width="18" customWidth="1"/>
    <col min="6" max="7" width="12" customWidth="1"/>
  </cols>
  <sheetData>
    <row r="1" spans="1:26" ht="32" customHeight="1">
      <c r="A1" s="4" t="s">
        <v>22</v>
      </c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>
      <c r="A3" s="2" t="s">
        <v>23</v>
      </c>
      <c r="B3" s="2" t="s">
        <v>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5">
      <c r="A4" s="3" t="s">
        <v>29</v>
      </c>
      <c r="B4" s="3" t="s">
        <v>7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>
      <c r="A5" s="3" t="s">
        <v>35</v>
      </c>
      <c r="B5" s="3" t="s">
        <v>9</v>
      </c>
      <c r="C5" s="3" t="s">
        <v>36</v>
      </c>
      <c r="D5" s="3" t="s">
        <v>37</v>
      </c>
      <c r="E5" s="3" t="s">
        <v>38</v>
      </c>
      <c r="F5" s="3" t="s">
        <v>33</v>
      </c>
      <c r="G5" s="3" t="s">
        <v>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3" t="s">
        <v>39</v>
      </c>
      <c r="B6" s="3" t="s">
        <v>11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>
      <c r="A7" s="3" t="s">
        <v>44</v>
      </c>
      <c r="B7" s="3" t="s">
        <v>12</v>
      </c>
      <c r="C7" s="3" t="s">
        <v>45</v>
      </c>
      <c r="D7" s="3" t="s">
        <v>46</v>
      </c>
      <c r="E7" s="3" t="s">
        <v>47</v>
      </c>
      <c r="F7" s="3" t="s">
        <v>33</v>
      </c>
      <c r="G7" s="3" t="s">
        <v>34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>
      <c r="A8" s="3" t="s">
        <v>48</v>
      </c>
      <c r="B8" s="3" t="s">
        <v>15</v>
      </c>
      <c r="C8" s="3" t="s">
        <v>49</v>
      </c>
      <c r="D8" s="3" t="s">
        <v>50</v>
      </c>
      <c r="E8" s="3" t="s">
        <v>51</v>
      </c>
      <c r="F8" s="3" t="s">
        <v>43</v>
      </c>
      <c r="G8" s="3" t="s">
        <v>34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G1"/>
  </mergeCells>
  <dataValidations count="2">
    <dataValidation type="list" sqref="F4:F8" xr:uid="{00000000-0002-0000-0100-000000000000}">
      <formula1>"High,Medium,Low"</formula1>
    </dataValidation>
    <dataValidation type="list" sqref="G4:G8" xr:uid="{00000000-0002-0000-0100-000001000000}">
      <formula1>"Draft,Approved,In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topLeftCell="A6" workbookViewId="0">
      <selection sqref="A1:L1"/>
    </sheetView>
  </sheetViews>
  <sheetFormatPr baseColWidth="10" defaultColWidth="8.83203125" defaultRowHeight="14"/>
  <cols>
    <col min="1" max="1" width="11" customWidth="1"/>
    <col min="2" max="2" width="10" customWidth="1"/>
    <col min="3" max="3" width="16" customWidth="1"/>
    <col min="4" max="4" width="34" customWidth="1"/>
    <col min="5" max="5" width="11" customWidth="1"/>
    <col min="6" max="7" width="42" customWidth="1"/>
    <col min="8" max="9" width="12" customWidth="1"/>
    <col min="10" max="10" width="16" customWidth="1"/>
    <col min="11" max="11" width="20" customWidth="1"/>
    <col min="12" max="12" width="24" customWidth="1"/>
  </cols>
  <sheetData>
    <row r="1" spans="1:26" ht="32" customHeight="1">
      <c r="A1" s="4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">
      <c r="A3" s="2" t="s">
        <v>53</v>
      </c>
      <c r="B3" s="2" t="s">
        <v>23</v>
      </c>
      <c r="C3" s="2" t="s">
        <v>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27</v>
      </c>
      <c r="I3" s="2" t="s">
        <v>28</v>
      </c>
      <c r="J3" s="2" t="s">
        <v>26</v>
      </c>
      <c r="K3" s="2" t="s">
        <v>58</v>
      </c>
      <c r="L3" s="2" t="s">
        <v>13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>
      <c r="A4" s="3" t="s">
        <v>59</v>
      </c>
      <c r="B4" s="3" t="s">
        <v>29</v>
      </c>
      <c r="C4" s="3" t="s">
        <v>7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33</v>
      </c>
      <c r="I4" s="3" t="s">
        <v>64</v>
      </c>
      <c r="J4" s="3" t="s">
        <v>32</v>
      </c>
      <c r="K4" s="3"/>
      <c r="L4" s="3" t="s">
        <v>65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>
      <c r="A5" s="3" t="s">
        <v>66</v>
      </c>
      <c r="B5" s="3" t="s">
        <v>29</v>
      </c>
      <c r="C5" s="3" t="s">
        <v>7</v>
      </c>
      <c r="D5" s="3" t="s">
        <v>67</v>
      </c>
      <c r="E5" s="3" t="s">
        <v>61</v>
      </c>
      <c r="F5" s="3" t="s">
        <v>68</v>
      </c>
      <c r="G5" s="3" t="s">
        <v>69</v>
      </c>
      <c r="H5" s="3" t="s">
        <v>33</v>
      </c>
      <c r="I5" s="3" t="s">
        <v>64</v>
      </c>
      <c r="J5" s="3" t="s">
        <v>32</v>
      </c>
      <c r="K5" s="3" t="s">
        <v>59</v>
      </c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>
      <c r="A6" s="3" t="s">
        <v>70</v>
      </c>
      <c r="B6" s="3" t="s">
        <v>29</v>
      </c>
      <c r="C6" s="3" t="s">
        <v>7</v>
      </c>
      <c r="D6" s="3" t="s">
        <v>71</v>
      </c>
      <c r="E6" s="3" t="s">
        <v>61</v>
      </c>
      <c r="F6" s="3" t="s">
        <v>72</v>
      </c>
      <c r="G6" s="3" t="s">
        <v>73</v>
      </c>
      <c r="H6" s="3" t="s">
        <v>33</v>
      </c>
      <c r="I6" s="3" t="s">
        <v>64</v>
      </c>
      <c r="J6" s="3" t="s">
        <v>74</v>
      </c>
      <c r="K6" s="3" t="s">
        <v>59</v>
      </c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>
      <c r="A7" s="3" t="s">
        <v>75</v>
      </c>
      <c r="B7" s="3" t="s">
        <v>29</v>
      </c>
      <c r="C7" s="3" t="s">
        <v>7</v>
      </c>
      <c r="D7" s="3" t="s">
        <v>76</v>
      </c>
      <c r="E7" s="3" t="s">
        <v>61</v>
      </c>
      <c r="F7" s="3" t="s">
        <v>77</v>
      </c>
      <c r="G7" s="3" t="s">
        <v>78</v>
      </c>
      <c r="H7" s="3" t="s">
        <v>33</v>
      </c>
      <c r="I7" s="3" t="s">
        <v>64</v>
      </c>
      <c r="J7" s="3" t="s">
        <v>74</v>
      </c>
      <c r="K7" s="3" t="s">
        <v>70</v>
      </c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>
      <c r="A8" s="3" t="s">
        <v>79</v>
      </c>
      <c r="B8" s="3" t="s">
        <v>29</v>
      </c>
      <c r="C8" s="3" t="s">
        <v>7</v>
      </c>
      <c r="D8" s="3" t="s">
        <v>80</v>
      </c>
      <c r="E8" s="3" t="s">
        <v>61</v>
      </c>
      <c r="F8" s="3" t="s">
        <v>81</v>
      </c>
      <c r="G8" s="3" t="s">
        <v>82</v>
      </c>
      <c r="H8" s="3" t="s">
        <v>33</v>
      </c>
      <c r="I8" s="3" t="s">
        <v>64</v>
      </c>
      <c r="J8" s="3" t="s">
        <v>74</v>
      </c>
      <c r="K8" s="3" t="s">
        <v>83</v>
      </c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>
      <c r="A9" s="3" t="s">
        <v>84</v>
      </c>
      <c r="B9" s="3" t="s">
        <v>29</v>
      </c>
      <c r="C9" s="3" t="s">
        <v>7</v>
      </c>
      <c r="D9" s="3" t="s">
        <v>85</v>
      </c>
      <c r="E9" s="3" t="s">
        <v>61</v>
      </c>
      <c r="F9" s="3" t="s">
        <v>86</v>
      </c>
      <c r="G9" s="3" t="s">
        <v>87</v>
      </c>
      <c r="H9" s="3" t="s">
        <v>33</v>
      </c>
      <c r="I9" s="3" t="s">
        <v>64</v>
      </c>
      <c r="J9" s="3" t="s">
        <v>74</v>
      </c>
      <c r="K9" s="3" t="s">
        <v>88</v>
      </c>
      <c r="L9" s="3" t="s">
        <v>89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>
      <c r="A10" s="3" t="s">
        <v>90</v>
      </c>
      <c r="B10" s="3" t="s">
        <v>29</v>
      </c>
      <c r="C10" s="3" t="s">
        <v>7</v>
      </c>
      <c r="D10" s="3" t="s">
        <v>91</v>
      </c>
      <c r="E10" s="3" t="s">
        <v>61</v>
      </c>
      <c r="F10" s="3" t="s">
        <v>92</v>
      </c>
      <c r="G10" s="3" t="s">
        <v>93</v>
      </c>
      <c r="H10" s="3" t="s">
        <v>33</v>
      </c>
      <c r="I10" s="3" t="s">
        <v>64</v>
      </c>
      <c r="J10" s="3" t="s">
        <v>74</v>
      </c>
      <c r="K10" s="3" t="s">
        <v>88</v>
      </c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">
      <c r="A11" s="3" t="s">
        <v>94</v>
      </c>
      <c r="B11" s="3" t="s">
        <v>35</v>
      </c>
      <c r="C11" s="3" t="s">
        <v>9</v>
      </c>
      <c r="D11" s="3" t="s">
        <v>95</v>
      </c>
      <c r="E11" s="3" t="s">
        <v>61</v>
      </c>
      <c r="F11" s="3" t="s">
        <v>96</v>
      </c>
      <c r="G11" s="3" t="s">
        <v>97</v>
      </c>
      <c r="H11" s="3" t="s">
        <v>33</v>
      </c>
      <c r="I11" s="3" t="s">
        <v>64</v>
      </c>
      <c r="J11" s="3" t="s">
        <v>38</v>
      </c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>
      <c r="A12" s="3" t="s">
        <v>98</v>
      </c>
      <c r="B12" s="3" t="s">
        <v>35</v>
      </c>
      <c r="C12" s="3" t="s">
        <v>9</v>
      </c>
      <c r="D12" s="3" t="s">
        <v>99</v>
      </c>
      <c r="E12" s="3" t="s">
        <v>61</v>
      </c>
      <c r="F12" s="3" t="s">
        <v>100</v>
      </c>
      <c r="G12" s="3" t="s">
        <v>101</v>
      </c>
      <c r="H12" s="3" t="s">
        <v>33</v>
      </c>
      <c r="I12" s="3" t="s">
        <v>64</v>
      </c>
      <c r="J12" s="3" t="s">
        <v>102</v>
      </c>
      <c r="K12" s="3" t="s">
        <v>94</v>
      </c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>
      <c r="A13" s="3" t="s">
        <v>103</v>
      </c>
      <c r="B13" s="3" t="s">
        <v>35</v>
      </c>
      <c r="C13" s="3" t="s">
        <v>9</v>
      </c>
      <c r="D13" s="3" t="s">
        <v>104</v>
      </c>
      <c r="E13" s="3" t="s">
        <v>61</v>
      </c>
      <c r="F13" s="3" t="s">
        <v>105</v>
      </c>
      <c r="G13" s="3" t="s">
        <v>106</v>
      </c>
      <c r="H13" s="3" t="s">
        <v>33</v>
      </c>
      <c r="I13" s="3" t="s">
        <v>64</v>
      </c>
      <c r="J13" s="3" t="s">
        <v>102</v>
      </c>
      <c r="K13" s="3" t="s">
        <v>94</v>
      </c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>
      <c r="A14" s="3" t="s">
        <v>107</v>
      </c>
      <c r="B14" s="3" t="s">
        <v>35</v>
      </c>
      <c r="C14" s="3" t="s">
        <v>9</v>
      </c>
      <c r="D14" s="3" t="s">
        <v>108</v>
      </c>
      <c r="E14" s="3" t="s">
        <v>61</v>
      </c>
      <c r="F14" s="3" t="s">
        <v>109</v>
      </c>
      <c r="G14" s="3" t="s">
        <v>110</v>
      </c>
      <c r="H14" s="3" t="s">
        <v>33</v>
      </c>
      <c r="I14" s="3" t="s">
        <v>64</v>
      </c>
      <c r="J14" s="3" t="s">
        <v>102</v>
      </c>
      <c r="K14" s="3" t="s">
        <v>94</v>
      </c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5">
      <c r="A15" s="3" t="s">
        <v>111</v>
      </c>
      <c r="B15" s="3" t="s">
        <v>35</v>
      </c>
      <c r="C15" s="3" t="s">
        <v>9</v>
      </c>
      <c r="D15" s="3" t="s">
        <v>112</v>
      </c>
      <c r="E15" s="3" t="s">
        <v>61</v>
      </c>
      <c r="F15" s="3" t="s">
        <v>113</v>
      </c>
      <c r="G15" s="3" t="s">
        <v>114</v>
      </c>
      <c r="H15" s="3" t="s">
        <v>43</v>
      </c>
      <c r="I15" s="3" t="s">
        <v>64</v>
      </c>
      <c r="J15" s="3" t="s">
        <v>102</v>
      </c>
      <c r="K15" s="3" t="s">
        <v>115</v>
      </c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5">
      <c r="A16" s="3" t="s">
        <v>116</v>
      </c>
      <c r="B16" s="3" t="s">
        <v>39</v>
      </c>
      <c r="C16" s="3" t="s">
        <v>11</v>
      </c>
      <c r="D16" s="3" t="s">
        <v>117</v>
      </c>
      <c r="E16" s="3" t="s">
        <v>61</v>
      </c>
      <c r="F16" s="3" t="s">
        <v>118</v>
      </c>
      <c r="G16" s="3" t="s">
        <v>119</v>
      </c>
      <c r="H16" s="3" t="s">
        <v>33</v>
      </c>
      <c r="I16" s="3" t="s">
        <v>64</v>
      </c>
      <c r="J16" s="3" t="s">
        <v>42</v>
      </c>
      <c r="K16" s="3" t="s">
        <v>120</v>
      </c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5">
      <c r="A17" s="3" t="s">
        <v>121</v>
      </c>
      <c r="B17" s="3" t="s">
        <v>39</v>
      </c>
      <c r="C17" s="3" t="s">
        <v>11</v>
      </c>
      <c r="D17" s="3" t="s">
        <v>122</v>
      </c>
      <c r="E17" s="3" t="s">
        <v>61</v>
      </c>
      <c r="F17" s="3" t="s">
        <v>123</v>
      </c>
      <c r="G17" s="3" t="s">
        <v>124</v>
      </c>
      <c r="H17" s="3" t="s">
        <v>43</v>
      </c>
      <c r="I17" s="3" t="s">
        <v>64</v>
      </c>
      <c r="J17" s="3" t="s">
        <v>125</v>
      </c>
      <c r="K17" s="3" t="s">
        <v>126</v>
      </c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">
      <c r="A18" s="3" t="s">
        <v>127</v>
      </c>
      <c r="B18" s="3" t="s">
        <v>39</v>
      </c>
      <c r="C18" s="3" t="s">
        <v>11</v>
      </c>
      <c r="D18" s="3" t="s">
        <v>128</v>
      </c>
      <c r="E18" s="3" t="s">
        <v>61</v>
      </c>
      <c r="F18" s="3" t="s">
        <v>129</v>
      </c>
      <c r="G18" s="3" t="s">
        <v>130</v>
      </c>
      <c r="H18" s="3" t="s">
        <v>43</v>
      </c>
      <c r="I18" s="3" t="s">
        <v>64</v>
      </c>
      <c r="J18" s="3" t="s">
        <v>125</v>
      </c>
      <c r="K18" s="3" t="s">
        <v>131</v>
      </c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>
      <c r="A19" s="3" t="s">
        <v>132</v>
      </c>
      <c r="B19" s="3" t="s">
        <v>44</v>
      </c>
      <c r="C19" s="3" t="s">
        <v>12</v>
      </c>
      <c r="D19" s="3" t="s">
        <v>133</v>
      </c>
      <c r="E19" s="3" t="s">
        <v>61</v>
      </c>
      <c r="F19" s="3" t="s">
        <v>134</v>
      </c>
      <c r="G19" s="3" t="s">
        <v>135</v>
      </c>
      <c r="H19" s="3" t="s">
        <v>33</v>
      </c>
      <c r="I19" s="3" t="s">
        <v>64</v>
      </c>
      <c r="J19" s="3" t="s">
        <v>47</v>
      </c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5">
      <c r="A20" s="3" t="s">
        <v>136</v>
      </c>
      <c r="B20" s="3" t="s">
        <v>44</v>
      </c>
      <c r="C20" s="3" t="s">
        <v>12</v>
      </c>
      <c r="D20" s="3" t="s">
        <v>137</v>
      </c>
      <c r="E20" s="3" t="s">
        <v>61</v>
      </c>
      <c r="F20" s="3" t="s">
        <v>138</v>
      </c>
      <c r="G20" s="3" t="s">
        <v>139</v>
      </c>
      <c r="H20" s="3" t="s">
        <v>33</v>
      </c>
      <c r="I20" s="3" t="s">
        <v>64</v>
      </c>
      <c r="J20" s="3" t="s">
        <v>47</v>
      </c>
      <c r="K20" s="3" t="s">
        <v>132</v>
      </c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5">
      <c r="A21" s="3" t="s">
        <v>140</v>
      </c>
      <c r="B21" s="3" t="s">
        <v>44</v>
      </c>
      <c r="C21" s="3" t="s">
        <v>12</v>
      </c>
      <c r="D21" s="3" t="s">
        <v>141</v>
      </c>
      <c r="E21" s="3" t="s">
        <v>61</v>
      </c>
      <c r="F21" s="3" t="s">
        <v>142</v>
      </c>
      <c r="G21" s="3" t="s">
        <v>143</v>
      </c>
      <c r="H21" s="3" t="s">
        <v>33</v>
      </c>
      <c r="I21" s="3" t="s">
        <v>64</v>
      </c>
      <c r="J21" s="3" t="s">
        <v>47</v>
      </c>
      <c r="K21" s="3" t="s">
        <v>132</v>
      </c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5">
      <c r="A22" s="3" t="s">
        <v>144</v>
      </c>
      <c r="B22" s="3" t="s">
        <v>44</v>
      </c>
      <c r="C22" s="3" t="s">
        <v>12</v>
      </c>
      <c r="D22" s="3" t="s">
        <v>145</v>
      </c>
      <c r="E22" s="3" t="s">
        <v>61</v>
      </c>
      <c r="F22" s="3" t="s">
        <v>146</v>
      </c>
      <c r="G22" s="3" t="s">
        <v>147</v>
      </c>
      <c r="H22" s="3" t="s">
        <v>43</v>
      </c>
      <c r="I22" s="3" t="s">
        <v>64</v>
      </c>
      <c r="J22" s="3" t="s">
        <v>47</v>
      </c>
      <c r="K22" s="3" t="s">
        <v>148</v>
      </c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5">
      <c r="A23" s="3" t="s">
        <v>149</v>
      </c>
      <c r="B23" s="3" t="s">
        <v>48</v>
      </c>
      <c r="C23" s="3" t="s">
        <v>15</v>
      </c>
      <c r="D23" s="3" t="s">
        <v>150</v>
      </c>
      <c r="E23" s="3" t="s">
        <v>151</v>
      </c>
      <c r="F23" s="3" t="s">
        <v>152</v>
      </c>
      <c r="G23" s="3" t="s">
        <v>153</v>
      </c>
      <c r="H23" s="3" t="s">
        <v>33</v>
      </c>
      <c r="I23" s="3" t="s">
        <v>64</v>
      </c>
      <c r="J23" s="3" t="s">
        <v>51</v>
      </c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5">
      <c r="A24" s="3" t="s">
        <v>154</v>
      </c>
      <c r="B24" s="3" t="s">
        <v>48</v>
      </c>
      <c r="C24" s="3" t="s">
        <v>15</v>
      </c>
      <c r="D24" s="3" t="s">
        <v>155</v>
      </c>
      <c r="E24" s="3" t="s">
        <v>151</v>
      </c>
      <c r="F24" s="3" t="s">
        <v>156</v>
      </c>
      <c r="G24" s="3" t="s">
        <v>157</v>
      </c>
      <c r="H24" s="3" t="s">
        <v>33</v>
      </c>
      <c r="I24" s="3" t="s">
        <v>64</v>
      </c>
      <c r="J24" s="3" t="s">
        <v>51</v>
      </c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>
      <c r="A25" s="3" t="s">
        <v>158</v>
      </c>
      <c r="B25" s="3" t="s">
        <v>48</v>
      </c>
      <c r="C25" s="3" t="s">
        <v>15</v>
      </c>
      <c r="D25" s="3" t="s">
        <v>159</v>
      </c>
      <c r="E25" s="3" t="s">
        <v>151</v>
      </c>
      <c r="F25" s="3" t="s">
        <v>160</v>
      </c>
      <c r="G25" s="3" t="s">
        <v>161</v>
      </c>
      <c r="H25" s="3" t="s">
        <v>43</v>
      </c>
      <c r="I25" s="3" t="s">
        <v>64</v>
      </c>
      <c r="J25" s="3" t="s">
        <v>51</v>
      </c>
      <c r="K25" s="3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5">
      <c r="A26" s="3" t="s">
        <v>162</v>
      </c>
      <c r="B26" s="3" t="s">
        <v>48</v>
      </c>
      <c r="C26" s="3" t="s">
        <v>15</v>
      </c>
      <c r="D26" s="3" t="s">
        <v>163</v>
      </c>
      <c r="E26" s="3" t="s">
        <v>151</v>
      </c>
      <c r="F26" s="3" t="s">
        <v>164</v>
      </c>
      <c r="G26" s="3" t="s">
        <v>165</v>
      </c>
      <c r="H26" s="3" t="s">
        <v>43</v>
      </c>
      <c r="I26" s="3" t="s">
        <v>64</v>
      </c>
      <c r="J26" s="3" t="s">
        <v>51</v>
      </c>
      <c r="K26" s="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L1"/>
  </mergeCells>
  <conditionalFormatting sqref="I4:I26">
    <cfRule type="expression" dxfId="1" priority="2">
      <formula>I4="Done"</formula>
    </cfRule>
    <cfRule type="expression" dxfId="0" priority="3">
      <formula>I4="In Progress"</formula>
    </cfRule>
  </conditionalFormatting>
  <dataValidations count="3">
    <dataValidation type="list" sqref="H4:H26" xr:uid="{00000000-0002-0000-0200-000000000000}">
      <formula1>"High,Medium,Low"</formula1>
    </dataValidation>
    <dataValidation type="list" sqref="I4:I26" xr:uid="{00000000-0002-0000-0200-000001000000}">
      <formula1>"Not Started,In Progress,Done"</formula1>
    </dataValidation>
    <dataValidation type="list" sqref="E4:E26" xr:uid="{00000000-0002-0000-0200-000002000000}">
      <formula1>"Story,Spike"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tabSelected="1" workbookViewId="0"/>
  </sheetViews>
  <sheetFormatPr baseColWidth="10" defaultColWidth="8.83203125" defaultRowHeight="14"/>
  <cols>
    <col min="1" max="2" width="18" customWidth="1"/>
    <col min="4" max="4" width="18" customWidth="1"/>
    <col min="6" max="6" width="12" customWidth="1"/>
  </cols>
  <sheetData>
    <row r="1" spans="1:26" ht="16">
      <c r="A1" s="2" t="s">
        <v>166</v>
      </c>
      <c r="B1" s="2" t="s">
        <v>2</v>
      </c>
      <c r="C1" s="1"/>
      <c r="D1" s="2" t="s">
        <v>167</v>
      </c>
      <c r="E1" s="1"/>
      <c r="F1" s="2" t="s">
        <v>55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27</v>
      </c>
      <c r="B2" s="1" t="s">
        <v>33</v>
      </c>
      <c r="C2" s="1"/>
      <c r="D2" s="1" t="s">
        <v>7</v>
      </c>
      <c r="E2" s="1"/>
      <c r="F2" s="1" t="s">
        <v>61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27</v>
      </c>
      <c r="B3" s="1" t="s">
        <v>43</v>
      </c>
      <c r="C3" s="1"/>
      <c r="D3" s="1" t="s">
        <v>9</v>
      </c>
      <c r="E3" s="1"/>
      <c r="F3" s="1" t="s">
        <v>151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27</v>
      </c>
      <c r="B4" s="1" t="s">
        <v>168</v>
      </c>
      <c r="C4" s="1"/>
      <c r="D4" s="1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28</v>
      </c>
      <c r="B5" s="1" t="s">
        <v>64</v>
      </c>
      <c r="C5" s="1"/>
      <c r="D5" s="1" t="s">
        <v>12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28</v>
      </c>
      <c r="B6" s="1" t="s">
        <v>169</v>
      </c>
      <c r="C6" s="1"/>
      <c r="D6" s="1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28</v>
      </c>
      <c r="B7" s="1" t="s">
        <v>170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Epics</vt:lpstr>
      <vt:lpstr>Stories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OMSA Class</cp:lastModifiedBy>
  <dcterms:created xsi:type="dcterms:W3CDTF">2026-04-21T16:04:11Z</dcterms:created>
  <dcterms:modified xsi:type="dcterms:W3CDTF">2026-04-21T16:04:11Z</dcterms:modified>
</cp:coreProperties>
</file>